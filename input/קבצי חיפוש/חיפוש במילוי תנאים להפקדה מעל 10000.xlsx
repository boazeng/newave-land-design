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"/>
  <sheetViews>
    <sheetView workbookViewId="0" rightToLeft="1"/>
  </sheetViews>
  <cols>
    <col min="1" max="1" customWidth="1" width="18"/>
    <col min="2" max="2" customWidth="1" width="50"/>
    <col min="3" max="3" customWidth="1" width="43"/>
    <col min="4" max="4" customWidth="1" width="50"/>
    <col min="5" max="5" customWidth="1" width="19"/>
    <col min="6" max="6" customWidth="1" width="6"/>
    <col min="7" max="7" customWidth="1" width="5"/>
    <col min="8" max="8" customWidth="1" width="6"/>
    <col min="9" max="9" customWidth="1" width="48"/>
    <col min="10" max="10" customWidth="1" width="12"/>
  </cols>
  <sheetData>
    <row r="1">
      <c r="A1" t="str">
        <v>מספר תכנית</v>
      </c>
      <c r="B1" t="str">
        <v>שם תכנית</v>
      </c>
      <c r="C1" t="str">
        <v>סמכות</v>
      </c>
      <c r="D1" t="str">
        <v>מיקום</v>
      </c>
      <c r="E1" t="str">
        <v>סטטוס</v>
      </c>
      <c r="F1" t="str">
        <v>הוראות</v>
      </c>
      <c r="G1" t="str">
        <v>תשריט</v>
      </c>
      <c r="H1" t="str">
        <v>מקוונת</v>
      </c>
      <c r="I1" t="str">
        <v>קישור לתכנית</v>
      </c>
      <c r="J1" t="str">
        <v xml:space="preserve">תאריך אישור </v>
      </c>
    </row>
    <row r="2">
      <c r="A2" t="str">
        <v>304-1464700</v>
      </c>
      <c r="B2" t="str">
        <v>פינוי בינוי מתחם 11, קריית אליעזר- חיפה</v>
      </c>
      <c r="C2" t="str">
        <v>מחוזית</v>
      </c>
      <c r="D2" t="str">
        <v>חיפה</v>
      </c>
      <c r="E2" t="str">
        <v>במילוי תנאים להפקדה</v>
      </c>
      <c r="F2" t="str">
        <v>כן</v>
      </c>
      <c r="G2" t="str">
        <v>כן</v>
      </c>
      <c r="H2" t="str">
        <v>כן</v>
      </c>
      <c r="I2">
        <f>=HYPERLINK("https://mavat.iplan.gov.il/SV4/1/3005459948/310")</f>
      </c>
    </row>
    <row r="3">
      <c r="A3" t="str">
        <v>504-0397125</v>
      </c>
      <c r="B3" t="str">
        <v>הר/מק/2315 מתחם הלפרין</v>
      </c>
      <c r="C3" t="str">
        <v>מקומית</v>
      </c>
      <c r="D3" t="str">
        <v>הרצליה</v>
      </c>
      <c r="E3" t="str">
        <v>במילוי תנאים להפקדה</v>
      </c>
      <c r="F3" t="str">
        <v>כן</v>
      </c>
      <c r="G3" t="str">
        <v>כן</v>
      </c>
      <c r="H3" t="str">
        <v>כן</v>
      </c>
      <c r="I3">
        <f>=HYPERLINK("https://mavat.iplan.gov.il/SV4/1/5000399643/310")</f>
      </c>
    </row>
    <row r="4">
      <c r="A4" t="str">
        <v>602-1140466</v>
      </c>
      <c r="B4" t="str">
        <v>מלון מלכת שבא - תוספת שטחים למלונאות ולמסחר</v>
      </c>
      <c r="C4" t="str">
        <v>מחוזית</v>
      </c>
      <c r="D4" t="str">
        <v>אילת</v>
      </c>
      <c r="E4" t="str">
        <v>במילוי תנאים להפקדה</v>
      </c>
      <c r="F4" t="str">
        <v>כן</v>
      </c>
      <c r="G4" t="str">
        <v>כן</v>
      </c>
      <c r="H4" t="str">
        <v>כן</v>
      </c>
      <c r="I4">
        <f>=HYPERLINK("https://mavat.iplan.gov.il/SV4/1/6005257410/310")</f>
      </c>
    </row>
    <row r="5">
      <c r="A5" t="str">
        <v>202-1399138</v>
      </c>
      <c r="B5" t="str">
        <v>נווה אור - מתקן אגרו וולטאי</v>
      </c>
      <c r="C5" t="str">
        <v>מחוזית</v>
      </c>
      <c r="D5" t="str">
        <v>עמק המעיינות</v>
      </c>
      <c r="E5" t="str">
        <v>במילוי תנאים להפקדה</v>
      </c>
      <c r="F5" t="str">
        <v>כן</v>
      </c>
      <c r="G5" t="str">
        <v>כן</v>
      </c>
      <c r="H5" t="str">
        <v>כן</v>
      </c>
      <c r="I5">
        <f>=HYPERLINK("https://mavat.iplan.gov.il/SV4/1/2005419938/310")</f>
      </c>
    </row>
    <row r="6">
      <c r="A6" t="str">
        <v>259-1311331</v>
      </c>
      <c r="B6" t="str">
        <v>ג/28632 הסדרת מתחם לגידול בע"ח - טובא זנגרייה</v>
      </c>
      <c r="C6" t="str">
        <v>מחוזית</v>
      </c>
      <c r="D6" t="str">
        <v>אצבע הגליל,טובא-זנגריה</v>
      </c>
      <c r="E6" t="str">
        <v>במילוי תנאים להפקדה</v>
      </c>
      <c r="F6" t="str">
        <v>כן</v>
      </c>
      <c r="G6" t="str">
        <v>כן</v>
      </c>
      <c r="H6" t="str">
        <v>כן</v>
      </c>
      <c r="I6">
        <f>=HYPERLINK("https://mavat.iplan.gov.il/SV4/1/2005365650/310")</f>
      </c>
    </row>
    <row r="7">
      <c r="A7" t="str">
        <v>תמל/ 2063</v>
      </c>
      <c r="B7" t="str">
        <v>קרית ים - התחדשות עירונית מתחם שפירא</v>
      </c>
      <c r="C7" t="str">
        <v>ארצית</v>
      </c>
      <c r="D7" t="str">
        <v>קריות,קרית ים</v>
      </c>
      <c r="E7" t="str">
        <v>במילוי תנאים להפקדה</v>
      </c>
      <c r="F7" t="str">
        <v>כן</v>
      </c>
      <c r="G7" t="str">
        <v>כן</v>
      </c>
      <c r="H7" t="str">
        <v>כן</v>
      </c>
      <c r="I7">
        <f>=HYPERLINK("https://mavat.iplan.gov.il/SV4/1/99005369748/310")</f>
      </c>
    </row>
    <row r="8">
      <c r="A8" t="str">
        <v>216-1471507</v>
      </c>
      <c r="B8" t="str">
        <v>ג/ 29747 - מתחם קרן היסוד צפת</v>
      </c>
      <c r="C8" t="str">
        <v>מחוזית</v>
      </c>
      <c r="D8" t="str">
        <v>צפת</v>
      </c>
      <c r="E8" t="str">
        <v>במילוי תנאים להפקדה</v>
      </c>
      <c r="F8" t="str">
        <v>כן</v>
      </c>
      <c r="G8" t="str">
        <v>כן</v>
      </c>
      <c r="H8" t="str">
        <v>כן</v>
      </c>
      <c r="I8">
        <f>=HYPERLINK("https://mavat.iplan.gov.il/SV4/1/2005463962/310")</f>
      </c>
    </row>
    <row r="9">
      <c r="A9" t="str">
        <v>257-1087360</v>
      </c>
      <c r="B9" t="str">
        <v>איחוד וחלוקה ללא הסכמה , חלקה 5 - אכסאל</v>
      </c>
      <c r="C9" t="str">
        <v>מחוזית</v>
      </c>
      <c r="D9" t="str">
        <v>אכסאל,מבוא העמקים</v>
      </c>
      <c r="E9" t="str">
        <v>במילוי תנאים להפקדה</v>
      </c>
      <c r="F9" t="str">
        <v>כן</v>
      </c>
      <c r="G9" t="str">
        <v>כן</v>
      </c>
      <c r="H9" t="str">
        <v>כן</v>
      </c>
      <c r="I9">
        <f>=HYPERLINK("https://mavat.iplan.gov.il/SV4/1/2005223978/310")</f>
      </c>
    </row>
    <row r="10">
      <c r="A10" t="str">
        <v>409-1020148</v>
      </c>
      <c r="B10" t="str">
        <v>עח/25/137, כפר ידידיה, מתאר לישוב</v>
      </c>
      <c r="C10" t="str">
        <v>מחוזית</v>
      </c>
      <c r="D10" t="str">
        <v>כפר ידידיה,עמק חפר</v>
      </c>
      <c r="E10" t="str">
        <v>במילוי תנאים להפקדה</v>
      </c>
      <c r="F10" t="str">
        <v>כן</v>
      </c>
      <c r="G10" t="str">
        <v>כן</v>
      </c>
      <c r="H10" t="str">
        <v>כן</v>
      </c>
      <c r="I10">
        <f>=HYPERLINK("https://mavat.iplan.gov.il/SV4/1/4005183888/310")</f>
      </c>
    </row>
    <row r="11">
      <c r="A11" t="str">
        <v>414-1021518</v>
      </c>
      <c r="B11" t="str">
        <v>רח/106 /7 /5 מתחם סמי כהן- מכון ויצמן</v>
      </c>
      <c r="C11" t="str">
        <v>מחוזית</v>
      </c>
      <c r="D11" t="str">
        <v>רחובות</v>
      </c>
      <c r="E11" t="str">
        <v>במילוי תנאים להפקדה</v>
      </c>
      <c r="F11" t="str">
        <v>כן</v>
      </c>
      <c r="G11" t="str">
        <v>כן</v>
      </c>
      <c r="H11" t="str">
        <v>כן</v>
      </c>
      <c r="I11">
        <f>=HYPERLINK("https://mavat.iplan.gov.il/SV4/1/4005184468/310")</f>
      </c>
    </row>
    <row r="12">
      <c r="A12" t="str">
        <v>625-1013119</v>
      </c>
      <c r="B12" t="str">
        <v>פארק מוטורי חצרים</v>
      </c>
      <c r="C12" t="str">
        <v>מחוזית</v>
      </c>
      <c r="D12" t="str">
        <v>בני שמעון</v>
      </c>
      <c r="E12" t="str">
        <v>במילוי תנאים להפקדה</v>
      </c>
      <c r="F12" t="str">
        <v>כן</v>
      </c>
      <c r="G12" t="str">
        <v>כן</v>
      </c>
      <c r="H12" t="str">
        <v>כן</v>
      </c>
      <c r="I12">
        <f>=HYPERLINK("https://mavat.iplan.gov.il/SV4/1/6005174248/310")</f>
      </c>
    </row>
    <row r="13">
      <c r="A13" t="str">
        <v>259-1186469</v>
      </c>
      <c r="B13" t="str">
        <v>ג/28526-בריכת מים בחצור הגלילית</v>
      </c>
      <c r="C13" t="str">
        <v>מחוזית</v>
      </c>
      <c r="D13" t="str">
        <v>אצבע הגליל,חצור הגלילית</v>
      </c>
      <c r="E13" t="str">
        <v>במילוי תנאים להפקדה</v>
      </c>
      <c r="F13" t="str">
        <v>כן</v>
      </c>
      <c r="G13" t="str">
        <v>כן</v>
      </c>
      <c r="H13" t="str">
        <v>כן</v>
      </c>
      <c r="I13">
        <f>=HYPERLINK("https://mavat.iplan.gov.il/SV4/1/2005284918/310")</f>
      </c>
    </row>
    <row r="14">
      <c r="A14" t="str">
        <v>505-1402163</v>
      </c>
      <c r="B14" t="str">
        <v>ח/ 656, רח' צבי תדמור 12, מבנה מסחרי</v>
      </c>
      <c r="C14" t="str">
        <v>מחוזית</v>
      </c>
      <c r="D14" t="str">
        <v>חולון</v>
      </c>
      <c r="E14" t="str">
        <v>במילוי תנאים להפקדה</v>
      </c>
      <c r="F14" t="str">
        <v>כן</v>
      </c>
      <c r="G14" t="str">
        <v>כן</v>
      </c>
      <c r="H14" t="str">
        <v>כן</v>
      </c>
      <c r="I14">
        <f>=HYPERLINK("https://mavat.iplan.gov.il/SV4/1/5005421904/310")</f>
      </c>
    </row>
    <row r="15">
      <c r="A15" t="str">
        <v>506-1312420</v>
      </c>
      <c r="B15" t="str">
        <v>רג/1753/ב - משולש הבורסה - העצמת זכויות ותוספת קומות</v>
      </c>
      <c r="C15" t="str">
        <v>מחוזית</v>
      </c>
      <c r="D15" t="str">
        <v>רמת גן</v>
      </c>
      <c r="E15" t="str">
        <v>במילוי תנאים להפקדה</v>
      </c>
      <c r="F15" t="str">
        <v>כן</v>
      </c>
      <c r="G15" t="str">
        <v>כן</v>
      </c>
      <c r="H15" t="str">
        <v>כן</v>
      </c>
      <c r="I15">
        <f>=HYPERLINK("https://mavat.iplan.gov.il/SV4/1/5005366260/310")</f>
      </c>
    </row>
    <row r="16">
      <c r="A16" t="str">
        <v>631-1433648</v>
      </c>
      <c r="B16" t="str">
        <v>מרכז שפירא - הרחבת הישוב</v>
      </c>
      <c r="C16" t="str">
        <v>מחוזית</v>
      </c>
      <c r="D16" t="str">
        <v>מרכז שפירא,שפיר</v>
      </c>
      <c r="E16" t="str">
        <v>במילוי תנאים להפקדה</v>
      </c>
      <c r="F16" t="str">
        <v>כן</v>
      </c>
      <c r="G16" t="str">
        <v>כן</v>
      </c>
      <c r="H16" t="str">
        <v>כן</v>
      </c>
      <c r="I16">
        <f>=HYPERLINK("https://mavat.iplan.gov.il/SV4/1/6005440800/310")</f>
      </c>
    </row>
    <row r="17">
      <c r="A17" t="str">
        <v>215-1538925</v>
      </c>
      <c r="B17" t="str">
        <v>ניוד זכויות בתכנית מאושרת DATA CENTER ANAN</v>
      </c>
      <c r="C17" t="str">
        <v>מחוזית</v>
      </c>
      <c r="D17" t="str">
        <v>עפולה</v>
      </c>
      <c r="E17" t="str">
        <v>במילוי תנאים להפקדה</v>
      </c>
      <c r="F17" t="str">
        <v>כן</v>
      </c>
      <c r="G17" t="str">
        <v>כן</v>
      </c>
      <c r="H17" t="str">
        <v>כן</v>
      </c>
      <c r="I17">
        <f>=HYPERLINK("https://mavat.iplan.gov.il/SV4/1/2005506088/310")</f>
      </c>
    </row>
    <row r="18">
      <c r="A18" t="str">
        <v>208-1228345</v>
      </c>
      <c r="B18" t="str">
        <v>מתחם כרמיאלה - מגורים בילוי ופנאי.</v>
      </c>
      <c r="C18" t="str">
        <v>מחוזית</v>
      </c>
      <c r="D18" t="str">
        <v>כרמיאל</v>
      </c>
      <c r="E18" t="str">
        <v>במילוי תנאים להפקדה</v>
      </c>
      <c r="F18" t="str">
        <v>כן</v>
      </c>
      <c r="G18" t="str">
        <v>כן</v>
      </c>
      <c r="H18" t="str">
        <v>כן</v>
      </c>
      <c r="I18">
        <f>=HYPERLINK("https://mavat.iplan.gov.il/SV4/1/2005312604/310")</f>
      </c>
    </row>
    <row r="19">
      <c r="A19" t="str">
        <v>409-0486431</v>
      </c>
      <c r="B19" t="str">
        <v>עח/212 גן לאומי תל קאקון</v>
      </c>
      <c r="C19" t="str">
        <v>מחוזית</v>
      </c>
      <c r="D19" t="str">
        <v>עמק חפר</v>
      </c>
      <c r="E19" t="str">
        <v>במילוי תנאים להפקדה</v>
      </c>
      <c r="F19" t="str">
        <v>כן</v>
      </c>
      <c r="G19" t="str">
        <v>כן</v>
      </c>
      <c r="H19" t="str">
        <v>כן</v>
      </c>
      <c r="I19">
        <f>=HYPERLINK("https://mavat.iplan.gov.il/SV4/1/4000596967/310")</f>
      </c>
    </row>
    <row r="20">
      <c r="A20" t="str">
        <v>202-1196062</v>
      </c>
      <c r="B20" t="str">
        <v>ניר דוד - דגת עמל  ג/28087</v>
      </c>
      <c r="C20" t="str">
        <v>מחוזית</v>
      </c>
      <c r="D20" t="str">
        <v>עמק המעיינות</v>
      </c>
      <c r="E20" t="str">
        <v>במילוי תנאים להפקדה</v>
      </c>
      <c r="F20" t="str">
        <v>כן</v>
      </c>
      <c r="G20" t="str">
        <v>כן</v>
      </c>
      <c r="H20" t="str">
        <v>כן</v>
      </c>
      <c r="I20">
        <f>=HYPERLINK("https://mavat.iplan.gov.il/SV4/1/2005290440/310")</f>
      </c>
    </row>
    <row r="21">
      <c r="A21" t="str">
        <v>202-1277763</v>
      </c>
      <c r="B21" t="str">
        <v>ג/28675 תכנית מתאר-מושב רחוב</v>
      </c>
      <c r="C21" t="str">
        <v>מחוזית</v>
      </c>
      <c r="D21" t="str">
        <v>עמק המעיינות,רחוב</v>
      </c>
      <c r="E21" t="str">
        <v>במילוי תנאים להפקדה</v>
      </c>
      <c r="F21" t="str">
        <v>כן</v>
      </c>
      <c r="G21" t="str">
        <v>כן</v>
      </c>
      <c r="H21" t="str">
        <v>כן</v>
      </c>
      <c r="I21">
        <f>=HYPERLINK("https://mavat.iplan.gov.il/SV4/1/2005343354/310")</f>
      </c>
    </row>
    <row r="22">
      <c r="A22" t="str">
        <v>216-1320472</v>
      </c>
      <c r="B22" t="str">
        <v>ג/29851 מתחם זלמן שז"ר, שכונת כנען</v>
      </c>
      <c r="C22" t="str">
        <v>מחוזית</v>
      </c>
      <c r="D22" t="str">
        <v>צפת</v>
      </c>
      <c r="E22" t="str">
        <v>במילוי תנאים להפקדה</v>
      </c>
      <c r="F22" t="str">
        <v>כן</v>
      </c>
      <c r="G22" t="str">
        <v>כן</v>
      </c>
      <c r="H22" t="str">
        <v>כן</v>
      </c>
      <c r="I22">
        <f>=HYPERLINK("https://mavat.iplan.gov.il/SV4/1/2005371880/310")</f>
      </c>
    </row>
    <row r="23">
      <c r="A23" t="str">
        <v>254-0715102</v>
      </c>
      <c r="B23" t="str">
        <v>קו ביוב ממט"ש תל עדשים לתחנת שאיבה גניגר</v>
      </c>
      <c r="C23" t="str">
        <v>מחוזית</v>
      </c>
      <c r="D23" t="str">
        <v>גניגר,יזרעאלים,מזרע,עמק יזרעאל,תל עדשים</v>
      </c>
      <c r="E23" t="str">
        <v>במילוי תנאים להפקדה</v>
      </c>
      <c r="F23" t="str">
        <v>כן</v>
      </c>
      <c r="G23" t="str">
        <v>כן</v>
      </c>
      <c r="H23" t="str">
        <v>כן</v>
      </c>
      <c r="I23">
        <f>=HYPERLINK("https://mavat.iplan.gov.il/SV4/1/2000981313/310")</f>
      </c>
    </row>
    <row r="24">
      <c r="A24" t="str">
        <v>259-1306414</v>
      </c>
      <c r="B24" t="str">
        <v>התחדשות עירונית החסידה, חצור הגלילית</v>
      </c>
      <c r="C24" t="str">
        <v>מחוזית</v>
      </c>
      <c r="D24" t="str">
        <v>אצבע הגליל,חצור הגלילית</v>
      </c>
      <c r="E24" t="str">
        <v>במילוי תנאים להפקדה</v>
      </c>
      <c r="F24" t="str">
        <v>כן</v>
      </c>
      <c r="G24" t="str">
        <v>כן</v>
      </c>
      <c r="H24" t="str">
        <v>כן</v>
      </c>
      <c r="I24">
        <f>=HYPERLINK("https://mavat.iplan.gov.il/SV4/1/2005362204/310")</f>
      </c>
    </row>
    <row r="25">
      <c r="A25" t="str">
        <v>503-1495191</v>
      </c>
      <c r="B25" t="str">
        <v>מרחב תחנת המטרו נגה גבעתיים: איחוד וחלוקה בעתיד</v>
      </c>
      <c r="C25" t="str">
        <v>מחוזית</v>
      </c>
      <c r="D25" t="str">
        <v>גבעתיים</v>
      </c>
      <c r="E25" t="str">
        <v>במילוי תנאים להפקדה</v>
      </c>
      <c r="F25" t="str">
        <v>כן</v>
      </c>
      <c r="G25" t="str">
        <v>כן</v>
      </c>
      <c r="H25" t="str">
        <v>כן</v>
      </c>
      <c r="I25">
        <f>=HYPERLINK("https://mavat.iplan.gov.il/SV4/1/5005478304/310")</f>
      </c>
    </row>
    <row r="26">
      <c r="A26" t="str">
        <v>633-1164904</v>
      </c>
      <c r="B26" t="str">
        <v>מושב כוכב מיכאל - הסדרה תוספת יחידת דיור שלישית בנחלות ושימושי תיירות</v>
      </c>
      <c r="C26" t="str">
        <v>מחוזית</v>
      </c>
      <c r="D26" t="str">
        <v>חוף אשקלון,כוכב מיכאל</v>
      </c>
      <c r="E26" t="str">
        <v>במילוי תנאים להפקדה</v>
      </c>
      <c r="F26" t="str">
        <v>כן</v>
      </c>
      <c r="G26" t="str">
        <v>כן</v>
      </c>
      <c r="H26" t="str">
        <v>כן</v>
      </c>
      <c r="I26">
        <f>=HYPERLINK("https://mavat.iplan.gov.il/SV4/1/6005271656/310")</f>
      </c>
    </row>
    <row r="27">
      <c r="A27" t="str">
        <v>651-1049774</v>
      </c>
      <c r="B27" t="str">
        <v>מושב קלחים - הסדרה</v>
      </c>
      <c r="C27" t="str">
        <v>מחוזית</v>
      </c>
      <c r="D27" t="str">
        <v>מרחבים,נגב מערבי,קלחים</v>
      </c>
      <c r="E27" t="str">
        <v>במילוי תנאים להפקדה</v>
      </c>
      <c r="F27" t="str">
        <v>כן</v>
      </c>
      <c r="G27" t="str">
        <v>כן</v>
      </c>
      <c r="H27" t="str">
        <v>כן</v>
      </c>
      <c r="I27">
        <f>=HYPERLINK("https://mavat.iplan.gov.il/SV4/1/6005201536/310")</f>
      </c>
    </row>
    <row r="28">
      <c r="A28" t="str">
        <v>651-1440585</v>
      </c>
      <c r="B28" t="str">
        <v>הקמת חוות לולים במושב רנן</v>
      </c>
      <c r="C28" t="str">
        <v>מחוזית</v>
      </c>
      <c r="D28" t="str">
        <v>מרחבים,נגב מערבי,רנן</v>
      </c>
      <c r="E28" t="str">
        <v>במילוי תנאים להפקדה</v>
      </c>
      <c r="F28" t="str">
        <v>כן</v>
      </c>
      <c r="G28" t="str">
        <v>כן</v>
      </c>
      <c r="H28" t="str">
        <v>כן</v>
      </c>
      <c r="I28">
        <f>=HYPERLINK("https://mavat.iplan.gov.il/SV4/1/6005445152/310")</f>
      </c>
    </row>
    <row r="29">
      <c r="A29" t="str">
        <v>219-0553156</v>
      </c>
      <c r="B29" t="str">
        <v>שמורת טבע סוסיתא הרחבה</v>
      </c>
      <c r="C29" t="str">
        <v>מחוזית</v>
      </c>
      <c r="D29" t="str">
        <v>גולן</v>
      </c>
      <c r="E29" t="str">
        <v>במילוי תנאים להפקדה</v>
      </c>
      <c r="F29" t="str">
        <v>כן</v>
      </c>
      <c r="G29" t="str">
        <v>כן</v>
      </c>
      <c r="H29" t="str">
        <v>כן</v>
      </c>
      <c r="I29">
        <f>=HYPERLINK("https://mavat.iplan.gov.il/SV4/1/2000889263/310")</f>
      </c>
    </row>
    <row r="30">
      <c r="A30" t="str">
        <v>219-0592105</v>
      </c>
      <c r="B30" t="str">
        <v>גן לאומי ושמורת טבע מעיינות הבניאס ג/26932</v>
      </c>
      <c r="C30" t="str">
        <v>מחוזית</v>
      </c>
      <c r="D30" t="str">
        <v>גולן</v>
      </c>
      <c r="E30" t="str">
        <v>במילוי תנאים להפקדה</v>
      </c>
      <c r="F30" t="str">
        <v>כן</v>
      </c>
      <c r="G30" t="str">
        <v>כן</v>
      </c>
      <c r="H30" t="str">
        <v>כן</v>
      </c>
      <c r="I30">
        <f>=HYPERLINK("https://mavat.iplan.gov.il/SV4/1/2000909805/310")</f>
      </c>
    </row>
    <row r="31">
      <c r="A31" t="str">
        <v>253-0870774</v>
      </c>
      <c r="B31" t="str">
        <v>קיבוץ איילת השחר ג/28746</v>
      </c>
      <c r="C31" t="str">
        <v>מחוזית</v>
      </c>
      <c r="D31" t="str">
        <v>אילת השחר,אצבע הגליל,הגליל העליון,ראש פינה</v>
      </c>
      <c r="E31" t="str">
        <v>במילוי תנאים להפקדה</v>
      </c>
      <c r="F31" t="str">
        <v>כן</v>
      </c>
      <c r="G31" t="str">
        <v>כן</v>
      </c>
      <c r="H31" t="str">
        <v>כן</v>
      </c>
      <c r="I31">
        <f>=HYPERLINK("https://mavat.iplan.gov.il/SV4/1/2005075950/310")</f>
      </c>
    </row>
    <row r="32">
      <c r="A32" t="str">
        <v>262-1418441</v>
      </c>
      <c r="B32" t="str">
        <v>שכונת מרסאן סח'נין - ג/29207</v>
      </c>
      <c r="C32" t="str">
        <v>מחוזית</v>
      </c>
      <c r="D32" t="str">
        <v>לב הגליל,משגב,סח'נין</v>
      </c>
      <c r="E32" t="str">
        <v>במילוי תנאים להפקדה</v>
      </c>
      <c r="F32" t="str">
        <v>כן</v>
      </c>
      <c r="G32" t="str">
        <v>כן</v>
      </c>
      <c r="H32" t="str">
        <v>כן</v>
      </c>
      <c r="I32">
        <f>=HYPERLINK("https://mavat.iplan.gov.il/SV4/1/2005431804/310")</f>
      </c>
    </row>
    <row r="33">
      <c r="A33" t="str">
        <v>303-1209006</v>
      </c>
      <c r="B33" t="str">
        <v>שכונה 14 קיסריה</v>
      </c>
      <c r="C33" t="str">
        <v>מחוזית</v>
      </c>
      <c r="D33" t="str">
        <v>חוף הכרמל,קיסריה</v>
      </c>
      <c r="E33" t="str">
        <v>במילוי תנאים להפקדה</v>
      </c>
      <c r="F33" t="str">
        <v>כן</v>
      </c>
      <c r="G33" t="str">
        <v>כן</v>
      </c>
      <c r="H33" t="str">
        <v>כן</v>
      </c>
      <c r="I33">
        <f>=HYPERLINK("https://mavat.iplan.gov.il/SV4/1/3005300854/310")</f>
      </c>
    </row>
    <row r="34">
      <c r="A34" t="str">
        <v>351-0942656</v>
      </c>
      <c r="B34" t="str">
        <v>תכנית מתאר כוללנית מנשה - אלונה</v>
      </c>
      <c r="C34" t="str">
        <v>מחוזית</v>
      </c>
      <c r="D34" t="str">
        <v>מנשה,מנשה-אלונה</v>
      </c>
      <c r="E34" t="str">
        <v>במילוי תנאים להפקדה</v>
      </c>
      <c r="F34" t="str">
        <v>כן</v>
      </c>
      <c r="G34" t="str">
        <v>כן</v>
      </c>
      <c r="H34" t="str">
        <v>כן</v>
      </c>
      <c r="I34">
        <f>=HYPERLINK("https://mavat.iplan.gov.il/SV4/1/3005120318/310")</f>
      </c>
    </row>
    <row r="35">
      <c r="A35" t="str">
        <v>505-1360395</v>
      </c>
      <c r="B35" t="str">
        <v>ח/התארגנות - שטחי התארגנות למתע"ן</v>
      </c>
      <c r="C35" t="str">
        <v>מחוזית</v>
      </c>
      <c r="D35" t="str">
        <v>חולון</v>
      </c>
      <c r="E35" t="str">
        <v>במילוי תנאים להפקדה</v>
      </c>
      <c r="F35" t="str">
        <v>כן</v>
      </c>
      <c r="G35" t="str">
        <v>כן</v>
      </c>
      <c r="H35" t="str">
        <v>כן</v>
      </c>
      <c r="I35">
        <f>=HYPERLINK("https://mavat.iplan.gov.il/SV4/1/5005396440/310")</f>
      </c>
    </row>
    <row r="36">
      <c r="A36" t="str">
        <v>425-0998377</v>
      </c>
      <c r="B36" t="str">
        <v>תכנית כוללת למושב זיתן</v>
      </c>
      <c r="C36" t="str">
        <v>מחוזית</v>
      </c>
      <c r="D36" t="str">
        <v>זיתן,שדות דן</v>
      </c>
      <c r="E36" t="str">
        <v>במילוי תנאים להפקדה</v>
      </c>
      <c r="F36" t="str">
        <v>כן</v>
      </c>
      <c r="G36" t="str">
        <v>כן</v>
      </c>
      <c r="H36" t="str">
        <v>כן</v>
      </c>
      <c r="I36">
        <f>=HYPERLINK("https://mavat.iplan.gov.il/SV4/1/4005153488/310")</f>
      </c>
    </row>
    <row r="37">
      <c r="A37" t="str">
        <v>633-1399591</v>
      </c>
      <c r="B37" t="str">
        <v>פיצול ל-2 מגרשים מנחלה , משק 86, מושב גיאה.</v>
      </c>
      <c r="C37" t="str">
        <v>מחוזית</v>
      </c>
      <c r="D37" t="str">
        <v>גיאה,חוף אשקלון</v>
      </c>
      <c r="E37" t="str">
        <v>במילוי תנאים להפקדה</v>
      </c>
      <c r="F37" t="str">
        <v>כן</v>
      </c>
      <c r="G37" t="str">
        <v>כן</v>
      </c>
      <c r="H37" t="str">
        <v>כן</v>
      </c>
      <c r="I37">
        <f>=HYPERLINK("https://mavat.iplan.gov.il/SV4/1/6005420320/310")</f>
      </c>
    </row>
    <row r="38">
      <c r="A38" t="str">
        <v>204-0523936</v>
      </c>
      <c r="B38" t="str">
        <v>גבע - אזור משקי-תעסוקתי</v>
      </c>
      <c r="C38" t="str">
        <v>מחוזית</v>
      </c>
      <c r="D38" t="str">
        <v>גבע,הגילבוע,הגלבוע</v>
      </c>
      <c r="E38" t="str">
        <v>במילוי תנאים להפקדה</v>
      </c>
      <c r="F38" t="str">
        <v>כן</v>
      </c>
      <c r="G38" t="str">
        <v>כן</v>
      </c>
      <c r="H38" t="str">
        <v>כן</v>
      </c>
      <c r="I38">
        <f>=HYPERLINK("https://mavat.iplan.gov.il/SV4/1/2000823667/310")</f>
      </c>
    </row>
    <row r="39">
      <c r="A39" t="str">
        <v>507-0634626</v>
      </c>
      <c r="B39" t="str">
        <v>תא/4669 התחדשות רמה-אדירים, נווה שרת</v>
      </c>
      <c r="C39" t="str">
        <v>מחוזית</v>
      </c>
      <c r="D39" t="str">
        <v>תל אביב-יפו</v>
      </c>
      <c r="E39" t="str">
        <v>במילוי תנאים להפקדה</v>
      </c>
      <c r="F39" t="str">
        <v>כן</v>
      </c>
      <c r="G39" t="str">
        <v>כן</v>
      </c>
      <c r="H39" t="str">
        <v>כן</v>
      </c>
      <c r="I39">
        <f>=HYPERLINK("https://mavat.iplan.gov.il/SV4/1/5000932951/310")</f>
      </c>
    </row>
    <row r="40">
      <c r="A40" t="str">
        <v>453-1087204</v>
      </c>
      <c r="B40" t="str">
        <v>קרית עקרון - שדרוג אזור תעשייה</v>
      </c>
      <c r="C40" t="str">
        <v>מחוזית</v>
      </c>
      <c r="D40" t="str">
        <v>זמורה,קרית עקרון</v>
      </c>
      <c r="E40" t="str">
        <v>במילוי תנאים להפקדה</v>
      </c>
      <c r="F40" t="str">
        <v>כן</v>
      </c>
      <c r="G40" t="str">
        <v>כן</v>
      </c>
      <c r="H40" t="str">
        <v>כן</v>
      </c>
      <c r="I40">
        <f>=HYPERLINK("https://mavat.iplan.gov.il/SV4/1/4005223886/310")</f>
      </c>
    </row>
    <row r="41">
      <c r="A41" t="str">
        <v>631-1186188</v>
      </c>
      <c r="B41" t="str">
        <v>מתחם פלוגות- תכנית רובע מרכז</v>
      </c>
      <c r="C41" t="str">
        <v>מחוזית</v>
      </c>
      <c r="D41" t="str">
        <v>לכיש,קרית גת,שפיר</v>
      </c>
      <c r="E41" t="str">
        <v>במילוי תנאים להפקדה</v>
      </c>
      <c r="F41" t="str">
        <v>כן</v>
      </c>
      <c r="G41" t="str">
        <v>כן</v>
      </c>
      <c r="H41" t="str">
        <v>כן</v>
      </c>
      <c r="I41">
        <f>=HYPERLINK("https://mavat.iplan.gov.il/SV4/1/6005284714/310")</f>
      </c>
    </row>
    <row r="42">
      <c r="A42" t="str">
        <v>101-1489665</v>
      </c>
      <c r="B42" t="str">
        <v>הלר 21</v>
      </c>
      <c r="C42" t="str">
        <v>מחוזית</v>
      </c>
      <c r="D42" t="str">
        <v>ירושלים</v>
      </c>
      <c r="E42" t="str">
        <v>במילוי תנאים להפקדה</v>
      </c>
      <c r="F42" t="str">
        <v>כן</v>
      </c>
      <c r="G42" t="str">
        <v>כן</v>
      </c>
      <c r="H42" t="str">
        <v>כן</v>
      </c>
      <c r="I42">
        <f>=HYPERLINK("https://mavat.iplan.gov.il/SV4/1/1005474910/310")</f>
      </c>
    </row>
    <row r="43">
      <c r="A43" t="str">
        <v>651-1426923</v>
      </c>
      <c r="B43" t="str">
        <v>הרחבת חוות לולים קיימת במושב קלחים</v>
      </c>
      <c r="C43" t="str">
        <v>מחוזית</v>
      </c>
      <c r="D43" t="str">
        <v>מרחבים,נגב מערבי,קלחים</v>
      </c>
      <c r="E43" t="str">
        <v>במילוי תנאים להפקדה</v>
      </c>
      <c r="F43" t="str">
        <v>כן</v>
      </c>
      <c r="G43" t="str">
        <v>כן</v>
      </c>
      <c r="H43" t="str">
        <v>כן</v>
      </c>
      <c r="I43">
        <f>=HYPERLINK("https://mavat.iplan.gov.il/SV4/1/6005436516/310")</f>
      </c>
    </row>
    <row r="44">
      <c r="A44" t="str">
        <v>202-1290857</v>
      </c>
      <c r="B44" t="str">
        <v>גן השלושה-הסדרת חניון ג/29298</v>
      </c>
      <c r="C44" t="str">
        <v>מחוזית</v>
      </c>
      <c r="D44" t="str">
        <v>עמק המעיינות</v>
      </c>
      <c r="E44" t="str">
        <v>במילוי תנאים להפקדה</v>
      </c>
      <c r="F44" t="str">
        <v>כן</v>
      </c>
      <c r="G44" t="str">
        <v>כן</v>
      </c>
      <c r="H44" t="str">
        <v>כן</v>
      </c>
      <c r="I44">
        <f>=HYPERLINK("https://mavat.iplan.gov.il/SV4/1/2005352012/310")</f>
      </c>
    </row>
    <row r="45">
      <c r="A45" t="str">
        <v>651-1472661</v>
      </c>
      <c r="B45" t="str">
        <v>מתקן אגרו-וולטאי קיבוץ בארי (התקומה)</v>
      </c>
      <c r="C45" t="str">
        <v>מחוזית</v>
      </c>
      <c r="D45" t="str">
        <v>אשכול,בארי,נגב מערבי</v>
      </c>
      <c r="E45" t="str">
        <v>במילוי תנאים להפקדה</v>
      </c>
      <c r="F45" t="str">
        <v>כן</v>
      </c>
      <c r="G45" t="str">
        <v>כן</v>
      </c>
      <c r="H45" t="str">
        <v>כן</v>
      </c>
      <c r="I45">
        <f>=HYPERLINK("https://mavat.iplan.gov.il/SV4/1/6005464604/310")</f>
      </c>
    </row>
    <row r="46">
      <c r="A46" t="str">
        <v>215-1173764</v>
      </c>
      <c r="B46" t="str">
        <v>עפולה - תעשיה בדרום העיר</v>
      </c>
      <c r="C46" t="str">
        <v>מחוזית</v>
      </c>
      <c r="D46" t="str">
        <v>עפולה</v>
      </c>
      <c r="E46" t="str">
        <v>במילוי תנאים להפקדה</v>
      </c>
      <c r="F46" t="str">
        <v>כן</v>
      </c>
      <c r="G46" t="str">
        <v>כן</v>
      </c>
      <c r="H46" t="str">
        <v>כן</v>
      </c>
      <c r="I46">
        <f>=HYPERLINK("https://mavat.iplan.gov.il/SV4/1/2005276896/310")</f>
      </c>
    </row>
    <row r="47">
      <c r="A47" t="str">
        <v>216-1448273</v>
      </c>
      <c r="B47" t="str">
        <v>מלונאות ומגורים ברח' קרן היסוד - צפת ג/29380</v>
      </c>
      <c r="C47" t="str">
        <v>מחוזית</v>
      </c>
      <c r="D47" t="str">
        <v>צפת</v>
      </c>
      <c r="E47" t="str">
        <v>במילוי תנאים להפקדה</v>
      </c>
      <c r="F47" t="str">
        <v>כן</v>
      </c>
      <c r="G47" t="str">
        <v>כן</v>
      </c>
      <c r="H47" t="str">
        <v>כן</v>
      </c>
      <c r="I47">
        <f>=HYPERLINK("https://mavat.iplan.gov.il/SV4/1/2005449790/310")</f>
      </c>
    </row>
    <row r="48">
      <c r="A48" t="str">
        <v>418-1371152</v>
      </c>
      <c r="B48" t="str">
        <v>ראש העין D - מרכז השכונה</v>
      </c>
      <c r="C48" t="str">
        <v>מחוזית</v>
      </c>
      <c r="D48" t="str">
        <v>ראש העין</v>
      </c>
      <c r="E48" t="str">
        <v>במילוי תנאים להפקדה</v>
      </c>
      <c r="F48" t="str">
        <v>כן</v>
      </c>
      <c r="G48" t="str">
        <v>כן</v>
      </c>
      <c r="H48" t="str">
        <v>כן</v>
      </c>
      <c r="I48">
        <f>=HYPERLINK("https://mavat.iplan.gov.il/SV4/1/4005403214/310")</f>
      </c>
    </row>
    <row r="49">
      <c r="A49" t="str">
        <v>411-1247022</v>
      </c>
      <c r="B49" t="str">
        <v>מע"ר דרומי יהוד-מונוסון</v>
      </c>
      <c r="C49" t="str">
        <v>מחוזית</v>
      </c>
      <c r="D49" t="str">
        <v>יהוד-מונוסון</v>
      </c>
      <c r="E49" t="str">
        <v>במילוי תנאים להפקדה</v>
      </c>
      <c r="F49" t="str">
        <v>כן</v>
      </c>
      <c r="G49" t="str">
        <v>כן</v>
      </c>
      <c r="H49" t="str">
        <v>כן</v>
      </c>
      <c r="I49">
        <f>=HYPERLINK("https://mavat.iplan.gov.il/SV4/1/4005324548/310")</f>
      </c>
    </row>
    <row r="50">
      <c r="A50" t="str">
        <v>252-1440684</v>
      </c>
      <c r="B50" t="str">
        <v>הסדרת מתחם מיי בייבי - ירכא</v>
      </c>
      <c r="C50" t="str">
        <v>מחוזית</v>
      </c>
      <c r="D50" t="str">
        <v>הגליל המרכזי,ירכא</v>
      </c>
      <c r="E50" t="str">
        <v>במילוי תנאים להפקדה</v>
      </c>
      <c r="F50" t="str">
        <v>כן</v>
      </c>
      <c r="G50" t="str">
        <v>כן</v>
      </c>
      <c r="H50" t="str">
        <v>כן</v>
      </c>
      <c r="I50">
        <f>=HYPERLINK("https://mavat.iplan.gov.il/SV4/1/2005445192/310")</f>
      </c>
    </row>
    <row r="51">
      <c r="A51" t="str">
        <v>101-1356526</v>
      </c>
      <c r="B51" t="str">
        <v>התחדשות עירונית במתחם כא', ארמון הנציב, ירושלים</v>
      </c>
      <c r="C51" t="str">
        <v>מחוזית</v>
      </c>
      <c r="D51" t="str">
        <v>ירושלים</v>
      </c>
      <c r="E51" t="str">
        <v>במילוי תנאים להפקדה</v>
      </c>
      <c r="F51" t="str">
        <v>כן</v>
      </c>
      <c r="G51" t="str">
        <v>כן</v>
      </c>
      <c r="H51" t="str">
        <v>כן</v>
      </c>
      <c r="I51">
        <f>=HYPERLINK("https://mavat.iplan.gov.il/SV4/1/1005393890/310")</f>
      </c>
    </row>
    <row r="52">
      <c r="A52" t="str">
        <v>101-1360486</v>
      </c>
      <c r="B52" t="str">
        <v>התחדשות עירונית מתחם י"ט ארמון הנציב</v>
      </c>
      <c r="C52" t="str">
        <v>מחוזית</v>
      </c>
      <c r="D52" t="str">
        <v>ירושלים</v>
      </c>
      <c r="E52" t="str">
        <v>במילוי תנאים להפקדה</v>
      </c>
      <c r="F52" t="str">
        <v>כן</v>
      </c>
      <c r="G52" t="str">
        <v>כן</v>
      </c>
      <c r="H52" t="str">
        <v>כן</v>
      </c>
      <c r="I52">
        <f>=HYPERLINK("https://mavat.iplan.gov.il/SV4/1/1005396494/310")</f>
      </c>
    </row>
    <row r="53">
      <c r="A53" t="str">
        <v>261-1198472</v>
      </c>
      <c r="B53" t="str">
        <v>דרך גישה לאתר פסולת אבליים - אעבלין</v>
      </c>
      <c r="C53" t="str">
        <v>מחוזית</v>
      </c>
      <c r="D53" t="str">
        <v>אעבלין,גבעות אלונים</v>
      </c>
      <c r="E53" t="str">
        <v>במילוי תנאים להפקדה</v>
      </c>
      <c r="F53" t="str">
        <v>כן</v>
      </c>
      <c r="G53" t="str">
        <v>כן</v>
      </c>
      <c r="H53" t="str">
        <v>כן</v>
      </c>
      <c r="I53">
        <f>=HYPERLINK("https://mavat.iplan.gov.il/SV4/1/2005291890/310")</f>
      </c>
    </row>
    <row r="54">
      <c r="A54" t="str">
        <v>602-1306059</v>
      </c>
      <c r="B54" t="str">
        <v>התחדשות עירונית מתחם ברנע שכונת הדקל</v>
      </c>
      <c r="C54" t="str">
        <v>מחוזית</v>
      </c>
      <c r="D54" t="str">
        <v>אילת</v>
      </c>
      <c r="E54" t="str">
        <v>במילוי תנאים להפקדה</v>
      </c>
      <c r="F54" t="str">
        <v>כן</v>
      </c>
      <c r="G54" t="str">
        <v>כן</v>
      </c>
      <c r="H54" t="str">
        <v>כן</v>
      </c>
      <c r="I54">
        <f>=HYPERLINK("https://mavat.iplan.gov.il/SV4/1/6005361954/310")</f>
      </c>
    </row>
    <row r="55">
      <c r="A55" t="str">
        <v>214-0892224</v>
      </c>
      <c r="B55" t="str">
        <v>מאגר ירמוכים</v>
      </c>
      <c r="C55" t="str">
        <v>מחוזית</v>
      </c>
      <c r="D55" t="str">
        <v>עמק הירדן</v>
      </c>
      <c r="E55" t="str">
        <v>במילוי תנאים להפקדה</v>
      </c>
      <c r="F55" t="str">
        <v>כן</v>
      </c>
      <c r="G55" t="str">
        <v>כן</v>
      </c>
      <c r="H55" t="str">
        <v>כן</v>
      </c>
      <c r="I55">
        <f>=HYPERLINK("https://mavat.iplan.gov.il/SV4/1/2005089486/310")</f>
      </c>
    </row>
    <row r="56">
      <c r="A56" t="str">
        <v>251-1369768</v>
      </c>
      <c r="B56" t="str">
        <v>שינוי הוראות בניה ביח' פיתוח דרומיות יט' ו-לא' ,מלונאות חוף מגדל</v>
      </c>
      <c r="C56" t="str">
        <v>מחוזית</v>
      </c>
      <c r="D56" t="str">
        <v>הגליל המזרחי,מגדל</v>
      </c>
      <c r="E56" t="str">
        <v>במילוי תנאים להפקדה</v>
      </c>
      <c r="F56" t="str">
        <v>כן</v>
      </c>
      <c r="G56" t="str">
        <v>כן</v>
      </c>
      <c r="H56" t="str">
        <v>כן</v>
      </c>
      <c r="I56">
        <f>=HYPERLINK("https://mavat.iplan.gov.il/SV4/1/2005402262/310")</f>
      </c>
    </row>
    <row r="57">
      <c r="A57" t="str">
        <v>651-0918946</v>
      </c>
      <c r="B57" t="str">
        <v>הסדרה והרחבת קיבוץ נחל עוז</v>
      </c>
      <c r="C57" t="str">
        <v>מחוזית</v>
      </c>
      <c r="D57" t="str">
        <v>נגב מערבי,נחל עז,שער הנגב</v>
      </c>
      <c r="E57" t="str">
        <v>במילוי תנאים להפקדה</v>
      </c>
      <c r="F57" t="str">
        <v>כן</v>
      </c>
      <c r="G57" t="str">
        <v>כן</v>
      </c>
      <c r="H57" t="str">
        <v>כן</v>
      </c>
      <c r="I57">
        <f>=HYPERLINK("https://mavat.iplan.gov.il/SV4/1/6005105750/310")</f>
      </c>
    </row>
    <row r="58">
      <c r="A58" t="str">
        <v>209-1270156</v>
      </c>
      <c r="B58" t="str">
        <v>ג/28912 תכנית מתאר - מושב שפר</v>
      </c>
      <c r="C58" t="str">
        <v>מחוזית</v>
      </c>
      <c r="D58" t="str">
        <v>מרום הגליל,שפר</v>
      </c>
      <c r="E58" t="str">
        <v>במילוי תנאים להפקדה</v>
      </c>
      <c r="F58" t="str">
        <v>כן</v>
      </c>
      <c r="G58" t="str">
        <v>כן</v>
      </c>
      <c r="H58" t="str">
        <v>כן</v>
      </c>
      <c r="I58">
        <f>=HYPERLINK("https://mavat.iplan.gov.il/SV4/1/2005338682/310")</f>
      </c>
    </row>
    <row r="59">
      <c r="A59" t="str">
        <v>213-1409622</v>
      </c>
      <c r="B59" t="str">
        <v>עכו - מתחם תגל</v>
      </c>
      <c r="C59" t="str">
        <v>מחוזית</v>
      </c>
      <c r="D59" t="str">
        <v>עכו</v>
      </c>
      <c r="E59" t="str">
        <v>במילוי תנאים להפקדה</v>
      </c>
      <c r="F59" t="str">
        <v>כן</v>
      </c>
      <c r="G59" t="str">
        <v>כן</v>
      </c>
      <c r="H59" t="str">
        <v>כן</v>
      </c>
      <c r="I59">
        <f>=HYPERLINK("https://mavat.iplan.gov.il/SV4/1/2005426508/310")</f>
      </c>
    </row>
    <row r="60">
      <c r="A60" t="str">
        <v>101-1144914</v>
      </c>
      <c r="B60" t="str">
        <v>שינוי יעודי קרקע  לצורך סלילת כביש בשכ' גבל מוכבר</v>
      </c>
      <c r="C60" t="str">
        <v>מחוזית</v>
      </c>
      <c r="D60" t="str">
        <v>ירושלים</v>
      </c>
      <c r="E60" t="str">
        <v>במילוי תנאים להפקדה</v>
      </c>
      <c r="F60" t="str">
        <v>כן</v>
      </c>
      <c r="G60" t="str">
        <v>כן</v>
      </c>
      <c r="H60" t="str">
        <v>כן</v>
      </c>
      <c r="I60">
        <f>=HYPERLINK("https://mavat.iplan.gov.il/SV4/1/1005259864/310")</f>
      </c>
    </row>
    <row r="61">
      <c r="A61" t="str">
        <v>102-1476498</v>
      </c>
      <c r="B61" t="str">
        <v>מתחם ד.ש מגורי ישראל, שד' בן גוריון, בית שמש.</v>
      </c>
      <c r="C61" t="str">
        <v>מחוזית</v>
      </c>
      <c r="D61" t="str">
        <v>בית שמש</v>
      </c>
      <c r="E61" t="str">
        <v>במילוי תנאים להפקדה</v>
      </c>
      <c r="F61" t="str">
        <v>כן</v>
      </c>
      <c r="G61" t="str">
        <v>כן</v>
      </c>
      <c r="H61" t="str">
        <v>כן</v>
      </c>
      <c r="I61">
        <f>=HYPERLINK("https://mavat.iplan.gov.il/SV4/1/1005466578/310")</f>
      </c>
    </row>
    <row r="62">
      <c r="A62" t="str">
        <v>251-1445626</v>
      </c>
      <c r="B62" t="str">
        <v>שינוי במערך דרכים בצפון רומת הייב</v>
      </c>
      <c r="C62" t="str">
        <v>מחוזית</v>
      </c>
      <c r="D62" t="str">
        <v>אל בטוף,הגליל המזרחי,רומת הייב</v>
      </c>
      <c r="E62" t="str">
        <v>במילוי תנאים להפקדה</v>
      </c>
      <c r="F62" t="str">
        <v>כן</v>
      </c>
      <c r="G62" t="str">
        <v>כן</v>
      </c>
      <c r="H62" t="str">
        <v>כן</v>
      </c>
      <c r="I62">
        <f>=HYPERLINK("https://mavat.iplan.gov.il/SV4/1/2005448348/310")</f>
      </c>
    </row>
    <row r="63">
      <c r="A63" t="str">
        <v>354-1212547</v>
      </c>
      <c r="B63" t="str">
        <v>הרחבת אזור תעשיה גת מתחם - A -</v>
      </c>
      <c r="C63" t="str">
        <v>מחוזית</v>
      </c>
      <c r="D63" t="str">
        <v>ג'ת,עירון</v>
      </c>
      <c r="E63" t="str">
        <v>במילוי תנאים להפקדה</v>
      </c>
      <c r="F63" t="str">
        <v>כן</v>
      </c>
      <c r="G63" t="str">
        <v>כן</v>
      </c>
      <c r="H63" t="str">
        <v>כן</v>
      </c>
      <c r="I63">
        <f>=HYPERLINK("https://mavat.iplan.gov.il/SV4/1/3005302330/310")</f>
      </c>
    </row>
    <row r="64">
      <c r="A64" t="str">
        <v>252-1346295</v>
      </c>
      <c r="B64" t="str">
        <v>מתחמים C ו -H ג'דידה מכר</v>
      </c>
      <c r="C64" t="str">
        <v>מחוזית</v>
      </c>
      <c r="D64" t="str">
        <v>ג'דיידה-מכר,הגליל המרכזי</v>
      </c>
      <c r="E64" t="str">
        <v>במילוי תנאים להפקדה</v>
      </c>
      <c r="F64" t="str">
        <v>כן</v>
      </c>
      <c r="G64" t="str">
        <v>כן</v>
      </c>
      <c r="H64" t="str">
        <v>כן</v>
      </c>
      <c r="I64">
        <f>=HYPERLINK("https://mavat.iplan.gov.il/SV4/1/2005386928/310")</f>
      </c>
    </row>
    <row r="65">
      <c r="A65" t="str">
        <v>259-1034172</v>
      </c>
      <c r="B65" t="str">
        <v>שכונה מרכזית חלקות 23,24,25,91 - יסוד המעלה</v>
      </c>
      <c r="C65" t="str">
        <v>מחוזית</v>
      </c>
      <c r="D65" t="str">
        <v>אצבע הגליל,יסוד המעלה</v>
      </c>
      <c r="E65" t="str">
        <v>במילוי תנאים להפקדה</v>
      </c>
      <c r="F65" t="str">
        <v>כן</v>
      </c>
      <c r="G65" t="str">
        <v>כן</v>
      </c>
      <c r="H65" t="str">
        <v>כן</v>
      </c>
      <c r="I65">
        <f>=HYPERLINK("https://mavat.iplan.gov.il/SV4/1/2005192096/310")</f>
      </c>
    </row>
    <row r="66">
      <c r="A66" t="str">
        <v>101-1142264</v>
      </c>
      <c r="B66" t="str">
        <v>התחדשות עירונית ברחובות משכן שילה ועמירם סיוון</v>
      </c>
      <c r="C66" t="str">
        <v>מחוזית</v>
      </c>
      <c r="D66" t="str">
        <v>ירושלים</v>
      </c>
      <c r="E66" t="str">
        <v>במילוי תנאים להפקדה</v>
      </c>
      <c r="F66" t="str">
        <v>כן</v>
      </c>
      <c r="G66" t="str">
        <v>כן</v>
      </c>
      <c r="H66" t="str">
        <v>כן</v>
      </c>
      <c r="I66">
        <f>=HYPERLINK("https://mavat.iplan.gov.il/SV4/1/1005258444/310")</f>
      </c>
    </row>
    <row r="67">
      <c r="A67" t="str">
        <v>410-1159052</v>
      </c>
      <c r="B67" t="str">
        <v>התחדשות עירונית מתחם שטרית - פתח תקווה</v>
      </c>
      <c r="C67" t="str">
        <v>מחוזית</v>
      </c>
      <c r="D67" t="str">
        <v>פתח תקוה</v>
      </c>
      <c r="E67" t="str">
        <v>במילוי תנאים להפקדה</v>
      </c>
      <c r="F67" t="str">
        <v>כן</v>
      </c>
      <c r="G67" t="str">
        <v>כן</v>
      </c>
      <c r="H67" t="str">
        <v>כן</v>
      </c>
      <c r="I67">
        <f>=HYPERLINK("https://mavat.iplan.gov.il/SV4/1/4005268192/310")</f>
      </c>
    </row>
    <row r="68">
      <c r="A68" t="str">
        <v>413-0931667</v>
      </c>
      <c r="B68" t="str">
        <v>רצ/39/23/1 מתחם אריאב- רמת אליהו</v>
      </c>
      <c r="C68" t="str">
        <v>מחוזית</v>
      </c>
      <c r="D68" t="str">
        <v>ראשון לציון</v>
      </c>
      <c r="E68" t="str">
        <v>במילוי תנאים להפקדה</v>
      </c>
      <c r="F68" t="str">
        <v>כן</v>
      </c>
      <c r="G68" t="str">
        <v>כן</v>
      </c>
      <c r="H68" t="str">
        <v>כן</v>
      </c>
      <c r="I68">
        <f>=HYPERLINK("https://mavat.iplan.gov.il/SV4/1/4005113384/310")</f>
      </c>
    </row>
    <row r="69">
      <c r="A69" t="str">
        <v>620-0721969</v>
      </c>
      <c r="B69" t="str">
        <v>חניון לילה שדרית, שמורת טבע הר נגב</v>
      </c>
      <c r="C69" t="str">
        <v>מחוזית</v>
      </c>
      <c r="D69" t="str">
        <v>רמת נגב</v>
      </c>
      <c r="E69" t="str">
        <v>במילוי תנאים להפקדה</v>
      </c>
      <c r="F69" t="str">
        <v>כן</v>
      </c>
      <c r="G69" t="str">
        <v>כן</v>
      </c>
      <c r="H69" t="str">
        <v>כן</v>
      </c>
      <c r="I69">
        <f>=HYPERLINK("https://mavat.iplan.gov.il/SV4/1/6000986151/310")</f>
      </c>
    </row>
    <row r="70">
      <c r="A70" t="str">
        <v>651-1159367</v>
      </c>
      <c r="B70" t="str">
        <v>מושב פעמי תש"ז - הרחבה קהילתית</v>
      </c>
      <c r="C70" t="str">
        <v>מחוזית</v>
      </c>
      <c r="D70" t="str">
        <v>מרחבים,נגב מערבי,פעמי תש"ז</v>
      </c>
      <c r="E70" t="str">
        <v>במילוי תנאים להפקדה</v>
      </c>
      <c r="F70" t="str">
        <v>כן</v>
      </c>
      <c r="G70" t="str">
        <v>כן</v>
      </c>
      <c r="H70" t="str">
        <v>כן</v>
      </c>
      <c r="I70">
        <f>=HYPERLINK("https://mavat.iplan.gov.il/SV4/1/6005268346/310")</f>
      </c>
    </row>
    <row r="71">
      <c r="A71" t="str">
        <v>652-1072727</v>
      </c>
      <c r="B71" t="str">
        <v>תל שבע - מגרש תיירותי</v>
      </c>
      <c r="C71" t="str">
        <v>מחוזית</v>
      </c>
      <c r="D71" t="str">
        <v>נגב מזרחי,תל שבע</v>
      </c>
      <c r="E71" t="str">
        <v>במילוי תנאים להפקדה</v>
      </c>
      <c r="F71" t="str">
        <v>כן</v>
      </c>
      <c r="G71" t="str">
        <v>כן</v>
      </c>
      <c r="H71" t="str">
        <v>כן</v>
      </c>
      <c r="I71">
        <f>=HYPERLINK("https://mavat.iplan.gov.il/SV4/1/6005214962/310")</f>
      </c>
    </row>
    <row r="72">
      <c r="A72" t="str">
        <v>633-1437557</v>
      </c>
      <c r="B72" t="str">
        <v>פיצול שני מגרשים מנחלה מס' 90, מושב גיאה</v>
      </c>
      <c r="C72" t="str">
        <v>מחוזית</v>
      </c>
      <c r="D72" t="str">
        <v>גיאה,חוף אשקלון</v>
      </c>
      <c r="E72" t="str">
        <v>במילוי תנאים להפקדה</v>
      </c>
      <c r="F72" t="str">
        <v>כן</v>
      </c>
      <c r="G72" t="str">
        <v>כן</v>
      </c>
      <c r="H72" t="str">
        <v>כן</v>
      </c>
      <c r="I72">
        <f>=HYPERLINK("https://mavat.iplan.gov.il/SV4/1/6005443158/310")</f>
      </c>
    </row>
    <row r="73">
      <c r="A73" t="str">
        <v>251-1464155</v>
      </c>
      <c r="B73" t="str">
        <v>מע'אר - חלקה 9, גוש 15619: איחוד וחלוקה</v>
      </c>
      <c r="C73" t="str">
        <v>מחוזית</v>
      </c>
      <c r="D73" t="str">
        <v>הגליל המזרחי,מג'אר</v>
      </c>
      <c r="E73" t="str">
        <v>במילוי תנאים להפקדה</v>
      </c>
      <c r="F73" t="str">
        <v>כן</v>
      </c>
      <c r="G73" t="str">
        <v>כן</v>
      </c>
      <c r="H73" t="str">
        <v>כן</v>
      </c>
      <c r="I73">
        <f>=HYPERLINK("https://mavat.iplan.gov.il/SV4/1/2005459606/310")</f>
      </c>
    </row>
    <row r="74">
      <c r="A74" t="str">
        <v>253-1479484</v>
      </c>
      <c r="B74" t="str">
        <v>חורפיש - אמפי פארק</v>
      </c>
      <c r="C74" t="str">
        <v>מחוזית</v>
      </c>
      <c r="D74" t="str">
        <v>חורפיש,מעלה נפתלי</v>
      </c>
      <c r="E74" t="str">
        <v>במילוי תנאים להפקדה</v>
      </c>
      <c r="F74" t="str">
        <v>כן</v>
      </c>
      <c r="G74" t="str">
        <v>כן</v>
      </c>
      <c r="H74" t="str">
        <v>כן</v>
      </c>
      <c r="I74">
        <f>=HYPERLINK("https://mavat.iplan.gov.il/SV4/1/2005468686/310")</f>
      </c>
    </row>
    <row r="75">
      <c r="A75" t="str">
        <v>255-0556464</v>
      </c>
      <c r="B75" t="str">
        <v>תכנית איחוד וחלוקה והתוית דרכים בינוח מתחם 1</v>
      </c>
      <c r="C75" t="str">
        <v>מחוזית</v>
      </c>
      <c r="D75" t="str">
        <v>יאנוח-ג'ת,ינוח-ג'ת,מעלה הגליל</v>
      </c>
      <c r="E75" t="str">
        <v>במילוי תנאים להפקדה</v>
      </c>
      <c r="F75" t="str">
        <v>כן</v>
      </c>
      <c r="G75" t="str">
        <v>כן</v>
      </c>
      <c r="H75" t="str">
        <v>כן</v>
      </c>
      <c r="I75">
        <f>=HYPERLINK("https://mavat.iplan.gov.il/SV4/1/2000891029/310")</f>
      </c>
    </row>
    <row r="76">
      <c r="A76" t="str">
        <v>255-1232982</v>
      </c>
      <c r="B76" t="str">
        <v>כיסרא - מתחם 4</v>
      </c>
      <c r="C76" t="str">
        <v>מחוזית</v>
      </c>
      <c r="D76" t="str">
        <v>כסרא-סמיע,מעלה הגליל</v>
      </c>
      <c r="E76" t="str">
        <v>במילוי תנאים להפקדה</v>
      </c>
      <c r="F76" t="str">
        <v>כן</v>
      </c>
      <c r="G76" t="str">
        <v>כן</v>
      </c>
      <c r="H76" t="str">
        <v>כן</v>
      </c>
      <c r="I76">
        <f>=HYPERLINK("https://mavat.iplan.gov.il/SV4/1/2005315812/310")</f>
      </c>
    </row>
    <row r="77">
      <c r="A77" t="str">
        <v>260-1459775</v>
      </c>
      <c r="B77" t="str">
        <v>הסדרת שכונה מזרחית ושכונת אלמרג' בסאג'ור</v>
      </c>
      <c r="C77" t="str">
        <v>מחוזית</v>
      </c>
      <c r="D77" t="str">
        <v>בקעת בית הכרם,סאג'ור</v>
      </c>
      <c r="E77" t="str">
        <v>במילוי תנאים להפקדה</v>
      </c>
      <c r="F77" t="str">
        <v>כן</v>
      </c>
      <c r="G77" t="str">
        <v>כן</v>
      </c>
      <c r="H77" t="str">
        <v>כן</v>
      </c>
      <c r="I77">
        <f>=HYPERLINK("https://mavat.iplan.gov.il/SV4/1/2005456786/310")</f>
      </c>
    </row>
    <row r="78">
      <c r="A78" t="str">
        <v>206-1404524</v>
      </c>
      <c r="B78" t="str">
        <v>מתקן אגרו וולטאי במושב שדה אילן</v>
      </c>
      <c r="C78" t="str">
        <v>מחוזית</v>
      </c>
      <c r="D78" t="str">
        <v>הגליל התחתון,שדה אילן</v>
      </c>
      <c r="E78" t="str">
        <v>במילוי תנאים להפקדה</v>
      </c>
      <c r="F78" t="str">
        <v>כן</v>
      </c>
      <c r="G78" t="str">
        <v>כן</v>
      </c>
      <c r="H78" t="str">
        <v>כן</v>
      </c>
      <c r="I78">
        <f>=HYPERLINK("https://mavat.iplan.gov.il/SV4/1/2005423436/310")</f>
      </c>
    </row>
    <row r="79">
      <c r="A79" t="str">
        <v>254-1455393</v>
      </c>
      <c r="B79" t="str">
        <v>מתקן אגרו וולטאי בקיבוץ מרחביה</v>
      </c>
      <c r="C79" t="str">
        <v>מחוזית</v>
      </c>
      <c r="D79" t="str">
        <v>הגילבוע,הגלבוע,יזרעאלים,מרחביה (קבוץ),עמק יזרעאל</v>
      </c>
      <c r="E79" t="str">
        <v>במילוי תנאים להפקדה</v>
      </c>
      <c r="F79" t="str">
        <v>כן</v>
      </c>
      <c r="G79" t="str">
        <v>כן</v>
      </c>
      <c r="H79" t="str">
        <v>כן</v>
      </c>
      <c r="I79">
        <f>=HYPERLINK("https://mavat.iplan.gov.il/SV4/1/2005454406/310")</f>
      </c>
    </row>
    <row r="80">
      <c r="A80" t="str">
        <v>602-1138122</v>
      </c>
      <c r="B80" t="str">
        <v>ממשה לכלי שייט בנמל אילת</v>
      </c>
      <c r="C80" t="str">
        <v>מחוזית</v>
      </c>
      <c r="D80" t="str">
        <v>אילת,גלילית מחוז הדרום</v>
      </c>
      <c r="E80" t="str">
        <v>במילוי תנאים להפקדה</v>
      </c>
      <c r="F80" t="str">
        <v>כן</v>
      </c>
      <c r="G80" t="str">
        <v>כן</v>
      </c>
      <c r="H80" t="str">
        <v>כן</v>
      </c>
      <c r="I80">
        <f>=HYPERLINK("https://mavat.iplan.gov.il/SV4/1/6005255712/310")</f>
      </c>
    </row>
    <row r="81">
      <c r="A81" t="str">
        <v>616-1295419</v>
      </c>
      <c r="B81" t="str">
        <v>מתקן אגרו וולטאי כפר אחים</v>
      </c>
      <c r="C81" t="str">
        <v>מחוזית</v>
      </c>
      <c r="D81" t="str">
        <v>באר טוביה,כפר אחים</v>
      </c>
      <c r="E81" t="str">
        <v>במילוי תנאים להפקדה</v>
      </c>
      <c r="F81" t="str">
        <v>כן</v>
      </c>
      <c r="G81" t="str">
        <v>כן</v>
      </c>
      <c r="H81" t="str">
        <v>כן</v>
      </c>
      <c r="I81">
        <f>=HYPERLINK("https://mavat.iplan.gov.il/SV4/1/6005355248/310")</f>
      </c>
    </row>
    <row r="82">
      <c r="A82" t="str">
        <v>625-1443175</v>
      </c>
      <c r="B82" t="str">
        <v>מתקן אגרו וולטאי קיבוץ שובל</v>
      </c>
      <c r="C82" t="str">
        <v>מחוזית</v>
      </c>
      <c r="D82" t="str">
        <v>בני שמעון,שובל</v>
      </c>
      <c r="E82" t="str">
        <v>במילוי תנאים להפקדה</v>
      </c>
      <c r="F82" t="str">
        <v>כן</v>
      </c>
      <c r="G82" t="str">
        <v>כן</v>
      </c>
      <c r="H82" t="str">
        <v>כן</v>
      </c>
      <c r="I82">
        <f>=HYPERLINK("https://mavat.iplan.gov.il/SV4/1/6005446936/310")</f>
      </c>
    </row>
    <row r="83">
      <c r="A83" t="str">
        <v>656-1397991</v>
      </c>
      <c r="B83" t="str">
        <v>מתקן אגרו-וולטאי עין תמר</v>
      </c>
      <c r="C83" t="str">
        <v>מחוזית</v>
      </c>
      <c r="D83" t="str">
        <v>תמר</v>
      </c>
      <c r="E83" t="str">
        <v>במילוי תנאים להפקדה</v>
      </c>
      <c r="F83" t="str">
        <v>כן</v>
      </c>
      <c r="G83" t="str">
        <v>כן</v>
      </c>
      <c r="H83" t="str">
        <v>כן</v>
      </c>
      <c r="I83">
        <f>=HYPERLINK("https://mavat.iplan.gov.il/SV4/1/6005419268/310")</f>
      </c>
    </row>
    <row r="84">
      <c r="A84" t="str">
        <v>409-0897819</v>
      </c>
      <c r="B84" t="str">
        <v>עח/4/175 כפר חגלה - תכנית מתאר מפורטת לישוב</v>
      </c>
      <c r="C84" t="str">
        <v>מחוזית</v>
      </c>
      <c r="D84" t="str">
        <v>חגלה,עמק חפר</v>
      </c>
      <c r="E84" t="str">
        <v>במילוי תנאים להפקדה</v>
      </c>
      <c r="F84" t="str">
        <v>כן</v>
      </c>
      <c r="G84" t="str">
        <v>כן</v>
      </c>
      <c r="H84" t="str">
        <v>כן</v>
      </c>
      <c r="I84">
        <f>=HYPERLINK("https://mavat.iplan.gov.il/SV4/1/4005092948/310")</f>
      </c>
    </row>
    <row r="85">
      <c r="A85" t="str">
        <v>417-0855031</v>
      </c>
      <c r="B85" t="str">
        <v>גן חיים- תוספת יח"ד שלישית בנחלות</v>
      </c>
      <c r="C85" t="str">
        <v>מחוזית</v>
      </c>
      <c r="D85" t="str">
        <v>גן חיים,דרום השרון</v>
      </c>
      <c r="E85" t="str">
        <v>במילוי תנאים להפקדה</v>
      </c>
      <c r="F85" t="str">
        <v>כן</v>
      </c>
      <c r="G85" t="str">
        <v>כן</v>
      </c>
      <c r="H85" t="str">
        <v>כן</v>
      </c>
      <c r="I85">
        <f>=HYPERLINK("https://mavat.iplan.gov.il/SV4/1/4005067446/310")</f>
      </c>
    </row>
    <row r="86">
      <c r="A86" t="str">
        <v>505-1351055</v>
      </c>
      <c r="B86" t="str">
        <v>ח/מק/538/א/346(רבי עקיבא - מתחמים 3,4,6)</v>
      </c>
      <c r="C86" t="str">
        <v>מחוזית</v>
      </c>
      <c r="D86" t="str">
        <v>חולון</v>
      </c>
      <c r="E86" t="str">
        <v>במילוי תנאים להפקדה</v>
      </c>
      <c r="F86" t="str">
        <v>כן</v>
      </c>
      <c r="G86" t="str">
        <v>כן</v>
      </c>
      <c r="H86" t="str">
        <v>כן</v>
      </c>
      <c r="I86">
        <f>=HYPERLINK("https://mavat.iplan.gov.il/SV4/1/5005390066/310")</f>
      </c>
    </row>
    <row r="87">
      <c r="A87" t="str">
        <v>602-1305689</v>
      </c>
      <c r="B87" t="str">
        <v>מתחם התחדשות עירונית 'פארן' בשכונת הערבה אילת</v>
      </c>
      <c r="C87" t="str">
        <v>מחוזית</v>
      </c>
      <c r="D87" t="str">
        <v>אילת</v>
      </c>
      <c r="E87" t="str">
        <v>במילוי תנאים להפקדה</v>
      </c>
      <c r="F87" t="str">
        <v>כן</v>
      </c>
      <c r="G87" t="str">
        <v>כן</v>
      </c>
      <c r="H87" t="str">
        <v>כן</v>
      </c>
      <c r="I87">
        <f>=HYPERLINK("https://mavat.iplan.gov.il/SV4/1/6005361756/310")</f>
      </c>
    </row>
    <row r="88">
      <c r="A88" t="str">
        <v>657-1393214</v>
      </c>
      <c r="B88" t="str">
        <v>צופר מגרשים 351-352</v>
      </c>
      <c r="C88" t="str">
        <v>מחוזית</v>
      </c>
      <c r="D88" t="str">
        <v>ערבה תיכונה</v>
      </c>
      <c r="E88" t="str">
        <v>במילוי תנאים להפקדה</v>
      </c>
      <c r="F88" t="str">
        <v>כן</v>
      </c>
      <c r="G88" t="str">
        <v>כן</v>
      </c>
      <c r="H88" t="str">
        <v>כן</v>
      </c>
      <c r="I88">
        <f>=HYPERLINK("https://mavat.iplan.gov.il/SV4/1/6005416128/310")</f>
      </c>
    </row>
    <row r="89">
      <c r="A89" t="str">
        <v>420-1425123</v>
      </c>
      <c r="B89" t="str">
        <v>מד/100 - שכונת המעיינות</v>
      </c>
      <c r="C89" t="str">
        <v>מחוזית</v>
      </c>
      <c r="D89" t="str">
        <v>מודיעין-מכבים-רעות</v>
      </c>
      <c r="E89" t="str">
        <v>במילוי תנאים להפקדה</v>
      </c>
      <c r="F89" t="str">
        <v>כן</v>
      </c>
      <c r="G89" t="str">
        <v>כן</v>
      </c>
      <c r="H89" t="str">
        <v>כן</v>
      </c>
      <c r="I89">
        <f>=HYPERLINK("https://mavat.iplan.gov.il/SV4/1/4005435584/310")</f>
      </c>
    </row>
    <row r="90">
      <c r="A90" t="str">
        <v>253-1345610</v>
      </c>
      <c r="B90" t="str">
        <v>נאות מרדכי - מתקן אגרו וולטאי</v>
      </c>
      <c r="C90" t="str">
        <v>מחוזית</v>
      </c>
      <c r="D90" t="str">
        <v>הגליל העליון,נאות מרדכי</v>
      </c>
      <c r="E90" t="str">
        <v>במילוי תנאים להפקדה</v>
      </c>
      <c r="F90" t="str">
        <v>כן</v>
      </c>
      <c r="G90" t="str">
        <v>כן</v>
      </c>
      <c r="H90" t="str">
        <v>כן</v>
      </c>
      <c r="I90">
        <f>=HYPERLINK("https://mavat.iplan.gov.il/SV4/1/2005386550/310")</f>
      </c>
    </row>
    <row r="91">
      <c r="A91" t="str">
        <v>253-1357912</v>
      </c>
      <c r="B91" t="str">
        <v>מתקן משולב אגרו ופוטו וולטאי בשטחי קיבוץ עמיר</v>
      </c>
      <c r="C91" t="str">
        <v>מחוזית</v>
      </c>
      <c r="D91" t="str">
        <v>הגליל העליון,עמיר</v>
      </c>
      <c r="E91" t="str">
        <v>במילוי תנאים להפקדה</v>
      </c>
      <c r="F91" t="str">
        <v>כן</v>
      </c>
      <c r="G91" t="str">
        <v>כן</v>
      </c>
      <c r="H91" t="str">
        <v>כן</v>
      </c>
      <c r="I91">
        <f>=HYPERLINK("https://mavat.iplan.gov.il/SV4/1/2005394774/310")</f>
      </c>
    </row>
    <row r="92">
      <c r="A92" t="str">
        <v>355-1041052</v>
      </c>
      <c r="B92" t="str">
        <v>מכ/1089 פינוי בינוי ז'בוטינסקי כלניות טירת כרמל</v>
      </c>
      <c r="C92" t="str">
        <v>מחוזית</v>
      </c>
      <c r="D92" t="str">
        <v>טירת כרמל,מורדות הכרמל</v>
      </c>
      <c r="E92" t="str">
        <v>במילוי תנאים להפקדה</v>
      </c>
      <c r="F92" t="str">
        <v>כן</v>
      </c>
      <c r="G92" t="str">
        <v>כן</v>
      </c>
      <c r="H92" t="str">
        <v>כן</v>
      </c>
      <c r="I92">
        <f>=HYPERLINK("https://mavat.iplan.gov.il/SV4/1/3005196532/310")</f>
      </c>
    </row>
    <row r="93">
      <c r="A93" t="str">
        <v>355-1467232</v>
      </c>
      <c r="B93" t="str">
        <v>כיכר העיר, נשר - שינויים</v>
      </c>
      <c r="C93" t="str">
        <v>מחוזית</v>
      </c>
      <c r="D93" t="str">
        <v>מורדות הכרמל,נשר</v>
      </c>
      <c r="E93" t="str">
        <v>במילוי תנאים להפקדה</v>
      </c>
      <c r="F93" t="str">
        <v>כן</v>
      </c>
      <c r="G93" t="str">
        <v>כן</v>
      </c>
      <c r="H93" t="str">
        <v>כן</v>
      </c>
      <c r="I93">
        <f>=HYPERLINK("https://mavat.iplan.gov.il/SV4/1/3005461534/310")</f>
      </c>
    </row>
    <row r="94">
      <c r="A94" t="str">
        <v>409-1226083</v>
      </c>
      <c r="B94" t="str">
        <v>עח/82/15, בית יצחק, יוריסטה, תוספת יח"ד</v>
      </c>
      <c r="C94" t="str">
        <v>מחוזית</v>
      </c>
      <c r="D94" t="str">
        <v>בית יצחק-שער חפר,עמק חפר</v>
      </c>
      <c r="E94" t="str">
        <v>במילוי תנאים להפקדה</v>
      </c>
      <c r="F94" t="str">
        <v>כן</v>
      </c>
      <c r="G94" t="str">
        <v>כן</v>
      </c>
      <c r="H94" t="str">
        <v>כן</v>
      </c>
      <c r="I94">
        <f>=HYPERLINK("https://mavat.iplan.gov.il/SV4/1/4005311250/310")</f>
      </c>
    </row>
    <row r="95">
      <c r="A95" t="str">
        <v>יוש/ 45/ 3/ 2/ 130</v>
      </c>
      <c r="B95" t="str">
        <v>אריאל שינוי ייעוד למגורים מבנים ומוסדות ציבור</v>
      </c>
      <c r="C95" t="str">
        <v>יו"ש -מועצת התכנון העליונה</v>
      </c>
      <c r="D95" t="str">
        <v>אריאל</v>
      </c>
      <c r="E95" t="str">
        <v>במילוי תנאים להפקדה</v>
      </c>
      <c r="F95" t="str">
        <v>כן</v>
      </c>
      <c r="G95" t="str">
        <v>כן</v>
      </c>
      <c r="H95" t="str">
        <v>לא</v>
      </c>
      <c r="I95">
        <f>=HYPERLINK("https://mavat.iplan.gov.il/SV4/1/7005365690/310")</f>
      </c>
    </row>
    <row r="96">
      <c r="A96" t="str">
        <v>101-1167469</v>
      </c>
      <c r="B96" t="str">
        <v>ירושלים דב גרונר - בניינים  10,8,6,4 - התחדשות עירונית</v>
      </c>
      <c r="C96" t="str">
        <v>מחוזית</v>
      </c>
      <c r="D96" t="str">
        <v>ירושלים</v>
      </c>
      <c r="E96" t="str">
        <v>במילוי תנאים להפקדה</v>
      </c>
      <c r="F96" t="str">
        <v>כן</v>
      </c>
      <c r="G96" t="str">
        <v>כן</v>
      </c>
      <c r="H96" t="str">
        <v>כן</v>
      </c>
      <c r="I96">
        <f>=HYPERLINK("https://mavat.iplan.gov.il/SV4/1/1005273292/310")</f>
      </c>
    </row>
    <row r="97">
      <c r="A97" t="str">
        <v>101-1377407</v>
      </c>
      <c r="B97" t="str">
        <v>התחדשות עירונית ברחובות שטרן ובוליביה, ירושלים</v>
      </c>
      <c r="C97" t="str">
        <v>מחוזית</v>
      </c>
      <c r="D97" t="str">
        <v>ירושלים</v>
      </c>
      <c r="E97" t="str">
        <v>במילוי תנאים להפקדה</v>
      </c>
      <c r="F97" t="str">
        <v>כן</v>
      </c>
      <c r="G97" t="str">
        <v>כן</v>
      </c>
      <c r="H97" t="str">
        <v>כן</v>
      </c>
      <c r="I97">
        <f>=HYPERLINK("https://mavat.iplan.gov.il/SV4/1/1005407164/310")</f>
      </c>
    </row>
    <row r="98">
      <c r="A98" t="str">
        <v>351-0956276</v>
      </c>
      <c r="B98" t="str">
        <v>תוספת יח"ד בנחלות- גן השומרון</v>
      </c>
      <c r="C98" t="str">
        <v>מחוזית</v>
      </c>
      <c r="D98" t="str">
        <v>גן השומרון,מנשה,מנשה-אלונה</v>
      </c>
      <c r="E98" t="str">
        <v>במילוי תנאים להפקדה</v>
      </c>
      <c r="F98" t="str">
        <v>כן</v>
      </c>
      <c r="G98" t="str">
        <v>כן</v>
      </c>
      <c r="H98" t="str">
        <v>כן</v>
      </c>
      <c r="I98">
        <f>=HYPERLINK("https://mavat.iplan.gov.il/SV4/1/3005128034/310")</f>
      </c>
    </row>
    <row r="99">
      <c r="A99" t="str">
        <v>355-1466754</v>
      </c>
      <c r="B99" t="str">
        <v>תיקון 1 לתוכנית המתאר הכוללנית נשר</v>
      </c>
      <c r="C99" t="str">
        <v>מחוזית</v>
      </c>
      <c r="D99" t="str">
        <v>מורדות הכרמל,נשר</v>
      </c>
      <c r="E99" t="str">
        <v>במילוי תנאים להפקדה</v>
      </c>
      <c r="F99" t="str">
        <v>כן</v>
      </c>
      <c r="G99" t="str">
        <v>כן</v>
      </c>
      <c r="H99" t="str">
        <v>כן</v>
      </c>
      <c r="I99">
        <f>=HYPERLINK("https://mavat.iplan.gov.il/SV4/1/3005461196/310")</f>
      </c>
    </row>
    <row r="100">
      <c r="A100" t="str">
        <v>404-1447317</v>
      </c>
      <c r="B100" t="str">
        <v>תכנית מתאר כוללנית ליבנה</v>
      </c>
      <c r="C100" t="str">
        <v>מחוזית</v>
      </c>
      <c r="D100" t="str">
        <v>יבנה</v>
      </c>
      <c r="E100" t="str">
        <v>במילוי תנאים להפקדה</v>
      </c>
      <c r="F100" t="str">
        <v>כן</v>
      </c>
      <c r="G100" t="str">
        <v>כן</v>
      </c>
      <c r="H100" t="str">
        <v>כן</v>
      </c>
      <c r="I100">
        <f>=HYPERLINK("https://mavat.iplan.gov.il/SV4/1/4005449284/310")</f>
      </c>
    </row>
    <row r="101">
      <c r="A101" t="str">
        <v>412-1083278</v>
      </c>
      <c r="B101" t="str">
        <v>תכנית מתאר-כפר הס</v>
      </c>
      <c r="C101" t="str">
        <v>מחוזית</v>
      </c>
      <c r="D101" t="str">
        <v>כפר הס,לב השרון</v>
      </c>
      <c r="E101" t="str">
        <v>במילוי תנאים להפקדה</v>
      </c>
      <c r="F101" t="str">
        <v>כן</v>
      </c>
      <c r="G101" t="str">
        <v>כן</v>
      </c>
      <c r="H101" t="str">
        <v>כן</v>
      </c>
      <c r="I101">
        <f>=HYPERLINK("https://mavat.iplan.gov.il/SV4/1/4005221406/310")</f>
      </c>
    </row>
    <row r="102">
      <c r="A102" t="str">
        <v>418-0625368</v>
      </c>
      <c r="B102" t="str">
        <v>מרכז תיירות, פנאי ובילוי - מגדל צדק</v>
      </c>
      <c r="C102" t="str">
        <v>מחוזית</v>
      </c>
      <c r="D102" t="str">
        <v>ראש העין</v>
      </c>
      <c r="E102" t="str">
        <v>במילוי תנאים להפקדה</v>
      </c>
      <c r="F102" t="str">
        <v>כן</v>
      </c>
      <c r="G102" t="str">
        <v>כן</v>
      </c>
      <c r="H102" t="str">
        <v>כן</v>
      </c>
      <c r="I102">
        <f>=HYPERLINK("https://mavat.iplan.gov.il/SV4/1/4000927731/310")</f>
      </c>
    </row>
    <row r="103">
      <c r="A103" t="str">
        <v>608-0972505</v>
      </c>
      <c r="B103" t="str">
        <v>אתר פסולת "נימרה"</v>
      </c>
      <c r="C103" t="str">
        <v>מחוזית</v>
      </c>
      <c r="D103" t="str">
        <v>חבל אילות</v>
      </c>
      <c r="E103" t="str">
        <v>במילוי תנאים להפקדה</v>
      </c>
      <c r="F103" t="str">
        <v>כן</v>
      </c>
      <c r="G103" t="str">
        <v>כן</v>
      </c>
      <c r="H103" t="str">
        <v>כן</v>
      </c>
      <c r="I103">
        <f>=HYPERLINK("https://mavat.iplan.gov.il/SV4/1/6005137474/310")</f>
      </c>
    </row>
    <row r="104">
      <c r="A104" t="str">
        <v>608-1039031</v>
      </c>
      <c r="B104" t="str">
        <v>הסדרת קיבוץ אליפז</v>
      </c>
      <c r="C104" t="str">
        <v>מחוזית</v>
      </c>
      <c r="D104" t="str">
        <v>חבל אילות</v>
      </c>
      <c r="E104" t="str">
        <v>במילוי תנאים להפקדה</v>
      </c>
      <c r="F104" t="str">
        <v>כן</v>
      </c>
      <c r="G104" t="str">
        <v>כן</v>
      </c>
      <c r="H104" t="str">
        <v>כן</v>
      </c>
      <c r="I104">
        <f>=HYPERLINK("https://mavat.iplan.gov.il/SV4/1/6005195340/310")</f>
      </c>
    </row>
    <row r="105">
      <c r="A105" t="str">
        <v>699-0884627</v>
      </c>
      <c r="B105" t="str">
        <v>שכונה 2 - ואדי א-נעם</v>
      </c>
      <c r="C105" t="str">
        <v>מחוזית</v>
      </c>
      <c r="D105" t="str">
        <v>גלילית מחוז הדרום</v>
      </c>
      <c r="E105" t="str">
        <v>במילוי תנאים להפקדה</v>
      </c>
      <c r="F105" t="str">
        <v>כן</v>
      </c>
      <c r="G105" t="str">
        <v>כן</v>
      </c>
      <c r="H105" t="str">
        <v>כן</v>
      </c>
      <c r="I105">
        <f>=HYPERLINK("https://mavat.iplan.gov.il/SV4/1/6005084386/310")</f>
      </c>
    </row>
    <row r="106">
      <c r="A106" t="str">
        <v>254-1458850</v>
      </c>
      <c r="B106" t="str">
        <v>קו ביוב - כפר מצר</v>
      </c>
      <c r="C106" t="str">
        <v>מחוזית</v>
      </c>
      <c r="D106" t="str">
        <v>בוסתן אל מארג',הגליל המזרחי,כפר מצר</v>
      </c>
      <c r="E106" t="str">
        <v>במילוי תנאים להפקדה</v>
      </c>
      <c r="F106" t="str">
        <v>כן</v>
      </c>
      <c r="G106" t="str">
        <v>כן</v>
      </c>
      <c r="H106" t="str">
        <v>כן</v>
      </c>
      <c r="I106">
        <f>=HYPERLINK("https://mavat.iplan.gov.il/SV4/1/2005456180/310")</f>
      </c>
    </row>
    <row r="107">
      <c r="A107" t="str">
        <v>303-1479617</v>
      </c>
      <c r="B107" t="str">
        <v>מחצבת הבונים-שיקום ופיתוח</v>
      </c>
      <c r="C107" t="str">
        <v>מחוזית</v>
      </c>
      <c r="D107" t="str">
        <v>חוף הכרמל</v>
      </c>
      <c r="E107" t="str">
        <v>במילוי תנאים להפקדה</v>
      </c>
      <c r="F107" t="str">
        <v>כן</v>
      </c>
      <c r="G107" t="str">
        <v>כן</v>
      </c>
      <c r="H107" t="str">
        <v>כן</v>
      </c>
      <c r="I107">
        <f>=HYPERLINK("https://mavat.iplan.gov.il/SV4/1/3005468748/310")</f>
      </c>
    </row>
    <row r="108">
      <c r="A108" t="str">
        <v>651-1376177</v>
      </c>
      <c r="B108" t="str">
        <v>מתקן פוטו-וולטאי קיבוץ כרם שלום (התקומה)</v>
      </c>
      <c r="C108" t="str">
        <v>מחוזית</v>
      </c>
      <c r="D108" t="str">
        <v>אשכול,כרם שלום,נגב מערבי</v>
      </c>
      <c r="E108" t="str">
        <v>במילוי תנאים להפקדה</v>
      </c>
      <c r="F108" t="str">
        <v>כן</v>
      </c>
      <c r="G108" t="str">
        <v>כן</v>
      </c>
      <c r="H108" t="str">
        <v>כן</v>
      </c>
      <c r="I108">
        <f>=HYPERLINK("https://mavat.iplan.gov.il/SV4/1/6005406466/310")</f>
      </c>
    </row>
    <row r="109">
      <c r="A109" t="str">
        <v>252-1002732</v>
      </c>
      <c r="B109" t="str">
        <v>תכנון מפורט מתחם א-12 - צפון מערב ירכא</v>
      </c>
      <c r="C109" t="str">
        <v>מחוזית</v>
      </c>
      <c r="D109" t="str">
        <v>הגליל המרכזי,ירכא</v>
      </c>
      <c r="E109" t="str">
        <v>במילוי תנאים להפקדה</v>
      </c>
      <c r="F109" t="str">
        <v>כן</v>
      </c>
      <c r="G109" t="str">
        <v>כן</v>
      </c>
      <c r="H109" t="str">
        <v>כן</v>
      </c>
      <c r="I109">
        <f>=HYPERLINK("https://mavat.iplan.gov.il/SV4/1/2005156488/310")</f>
      </c>
    </row>
    <row r="110">
      <c r="A110" t="str">
        <v>252-1485499</v>
      </c>
      <c r="B110" t="str">
        <v>הצרחת שטחים ואיחוד וחלוקה מחדש בחלקות 66_38 אבו סנאן</v>
      </c>
      <c r="C110" t="str">
        <v>מחוזית</v>
      </c>
      <c r="D110" t="str">
        <v>אבו סנאן,הגליל המרכזי</v>
      </c>
      <c r="E110" t="str">
        <v>במילוי תנאים להפקדה</v>
      </c>
      <c r="F110" t="str">
        <v>כן</v>
      </c>
      <c r="G110" t="str">
        <v>כן</v>
      </c>
      <c r="H110" t="str">
        <v>כן</v>
      </c>
      <c r="I110">
        <f>=HYPERLINK("https://mavat.iplan.gov.il/SV4/1/2005472358/310")</f>
      </c>
    </row>
    <row r="111">
      <c r="A111" t="str">
        <v>258-1414333</v>
      </c>
      <c r="B111" t="str">
        <v>שינוי יעוד קרקע והסדרת בניה - פקיעין</v>
      </c>
      <c r="C111" t="str">
        <v>מחוזית</v>
      </c>
      <c r="D111" t="str">
        <v>מעלה נפתלי,פקיעין (בוקייעה)</v>
      </c>
      <c r="E111" t="str">
        <v>במילוי תנאים להפקדה</v>
      </c>
      <c r="F111" t="str">
        <v>כן</v>
      </c>
      <c r="G111" t="str">
        <v>כן</v>
      </c>
      <c r="H111" t="str">
        <v>כן</v>
      </c>
      <c r="I111">
        <f>=HYPERLINK("https://mavat.iplan.gov.il/SV4/1/2005429448/310")</f>
      </c>
    </row>
    <row r="112">
      <c r="A112" t="str">
        <v>258-1466523</v>
      </c>
      <c r="B112" t="str">
        <v>מבנה רב תכליתי "שער בית ג'ן"</v>
      </c>
      <c r="C112" t="str">
        <v>מחוזית</v>
      </c>
      <c r="D112" t="str">
        <v>בית ג'ן,מעלה נפתלי</v>
      </c>
      <c r="E112" t="str">
        <v>במילוי תנאים להפקדה</v>
      </c>
      <c r="F112" t="str">
        <v>כן</v>
      </c>
      <c r="G112" t="str">
        <v>כן</v>
      </c>
      <c r="H112" t="str">
        <v>כן</v>
      </c>
      <c r="I112">
        <f>=HYPERLINK("https://mavat.iplan.gov.il/SV4/1/2005461116/310")</f>
      </c>
    </row>
    <row r="113">
      <c r="A113" t="str">
        <v>423-1294776</v>
      </c>
      <c r="B113" t="str">
        <v>חורשת האקליפטוס</v>
      </c>
      <c r="C113" t="str">
        <v>מחוזית</v>
      </c>
      <c r="D113" t="str">
        <v>הוד השרון</v>
      </c>
      <c r="E113" t="str">
        <v>במילוי תנאים להפקדה</v>
      </c>
      <c r="F113" t="str">
        <v>כן</v>
      </c>
      <c r="G113" t="str">
        <v>כן</v>
      </c>
      <c r="H113" t="str">
        <v>כן</v>
      </c>
      <c r="I113">
        <f>=HYPERLINK("https://mavat.iplan.gov.il/SV4/1/4005354792/310")</f>
      </c>
    </row>
    <row r="114">
      <c r="A114" t="str">
        <v>101-1257922</v>
      </c>
      <c r="B114" t="str">
        <v>פינוי בינוי ברחוב החבצלת 3-7, ירושלים</v>
      </c>
      <c r="C114" t="str">
        <v>מחוזית</v>
      </c>
      <c r="D114" t="str">
        <v>ירושלים</v>
      </c>
      <c r="E114" t="str">
        <v>במילוי תנאים להפקדה</v>
      </c>
      <c r="F114" t="str">
        <v>כן</v>
      </c>
      <c r="G114" t="str">
        <v>כן</v>
      </c>
      <c r="H114" t="str">
        <v>כן</v>
      </c>
      <c r="I114">
        <f>=HYPERLINK("https://mavat.iplan.gov.il/SV4/1/1005331336/310")</f>
      </c>
    </row>
    <row r="115">
      <c r="A115" t="str">
        <v>205-0900167</v>
      </c>
      <c r="B115" t="str">
        <v>הר כמון - אזור תעסוקה</v>
      </c>
      <c r="C115" t="str">
        <v>מחוזית</v>
      </c>
      <c r="D115" t="str">
        <v>מכמנים,משגב</v>
      </c>
      <c r="E115" t="str">
        <v>במילוי תנאים להפקדה</v>
      </c>
      <c r="F115" t="str">
        <v>כן</v>
      </c>
      <c r="G115" t="str">
        <v>כן</v>
      </c>
      <c r="H115" t="str">
        <v>כן</v>
      </c>
      <c r="I115">
        <f>=HYPERLINK("https://mavat.iplan.gov.il/SV4/1/2005094306/310")</f>
      </c>
    </row>
    <row r="116">
      <c r="A116" t="str">
        <v>224-1265974</v>
      </c>
      <c r="B116" t="str">
        <v>חד-נס - הרחבת הישוב</v>
      </c>
      <c r="C116" t="str">
        <v>מחוזית</v>
      </c>
      <c r="D116" t="str">
        <v>גולן,חד-נס</v>
      </c>
      <c r="E116" t="str">
        <v>במילוי תנאים להפקדה</v>
      </c>
      <c r="F116" t="str">
        <v>כן</v>
      </c>
      <c r="G116" t="str">
        <v>כן</v>
      </c>
      <c r="H116" t="str">
        <v>כן</v>
      </c>
      <c r="I116">
        <f>=HYPERLINK("https://mavat.iplan.gov.il/SV4/1/2005336146/310")</f>
      </c>
    </row>
    <row r="117">
      <c r="A117" t="str">
        <v>633-1400662</v>
      </c>
      <c r="B117" t="str">
        <v>מתקן אגרו וולטאי במושב תלמי יפה</v>
      </c>
      <c r="C117" t="str">
        <v>מחוזית</v>
      </c>
      <c r="D117" t="str">
        <v>חוף אשקלון,תלמי יפה</v>
      </c>
      <c r="E117" t="str">
        <v>במילוי תנאים להפקדה</v>
      </c>
      <c r="F117" t="str">
        <v>כן</v>
      </c>
      <c r="G117" t="str">
        <v>כן</v>
      </c>
      <c r="H117" t="str">
        <v>כן</v>
      </c>
      <c r="I117">
        <f>=HYPERLINK("https://mavat.iplan.gov.il/SV4/1/6005421060/310")</f>
      </c>
    </row>
    <row r="118">
      <c r="A118" t="str">
        <v>634-1181825</v>
      </c>
      <c r="B118" t="str">
        <v>מתקן אגרו וולטאי גד"ש עציון</v>
      </c>
      <c r="C118" t="str">
        <v>מחוזית</v>
      </c>
      <c r="D118" t="str">
        <v>לכיש,שפיר</v>
      </c>
      <c r="E118" t="str">
        <v>במילוי תנאים להפקדה</v>
      </c>
      <c r="F118" t="str">
        <v>כן</v>
      </c>
      <c r="G118" t="str">
        <v>כן</v>
      </c>
      <c r="H118" t="str">
        <v>כן</v>
      </c>
      <c r="I118">
        <f>=HYPERLINK("https://mavat.iplan.gov.il/SV4/1/6005282108/310")</f>
      </c>
    </row>
    <row r="119">
      <c r="A119" t="str">
        <v>634-1412691</v>
      </c>
      <c r="B119" t="str">
        <v>מתקן אגרו וולטאי מושב שיתופי אמציה</v>
      </c>
      <c r="C119" t="str">
        <v>מחוזית</v>
      </c>
      <c r="D119" t="str">
        <v>אמציה,לכיש</v>
      </c>
      <c r="E119" t="str">
        <v>במילוי תנאים להפקדה</v>
      </c>
      <c r="F119" t="str">
        <v>כן</v>
      </c>
      <c r="G119" t="str">
        <v>כן</v>
      </c>
      <c r="H119" t="str">
        <v>כן</v>
      </c>
      <c r="I119">
        <f>=HYPERLINK("https://mavat.iplan.gov.il/SV4/1/6005428344/310")</f>
      </c>
    </row>
    <row r="120">
      <c r="A120" t="str">
        <v>651-1322130</v>
      </c>
      <c r="B120" t="str">
        <v>מתקן אגרו וולטאי במושב בני נצרים</v>
      </c>
      <c r="C120" t="str">
        <v>מחוזית</v>
      </c>
      <c r="D120" t="str">
        <v>אשכול,בני נצרים,נגב מערבי</v>
      </c>
      <c r="E120" t="str">
        <v>במילוי תנאים להפקדה</v>
      </c>
      <c r="F120" t="str">
        <v>כן</v>
      </c>
      <c r="G120" t="str">
        <v>כן</v>
      </c>
      <c r="H120" t="str">
        <v>כן</v>
      </c>
      <c r="I120">
        <f>=HYPERLINK("https://mavat.iplan.gov.il/SV4/1/6005372856/310")</f>
      </c>
    </row>
    <row r="121">
      <c r="A121" t="str">
        <v>651-1362771</v>
      </c>
      <c r="B121" t="str">
        <v>מתקן אגרו וולטאי במושב פדויים</v>
      </c>
      <c r="C121" t="str">
        <v>מחוזית</v>
      </c>
      <c r="D121" t="str">
        <v>מרחבים,נגב מערבי,פדויים</v>
      </c>
      <c r="E121" t="str">
        <v>במילוי תנאים להפקדה</v>
      </c>
      <c r="F121" t="str">
        <v>כן</v>
      </c>
      <c r="G121" t="str">
        <v>כן</v>
      </c>
      <c r="H121" t="str">
        <v>כן</v>
      </c>
      <c r="I121">
        <f>=HYPERLINK("https://mavat.iplan.gov.il/SV4/1/6005397864/310")</f>
      </c>
    </row>
    <row r="122">
      <c r="A122" t="str">
        <v>253-1142900</v>
      </c>
      <c r="B122" t="str">
        <v>הסדרת נחלות ורה תכנון בישוב הותיק, משמר הירדן</v>
      </c>
      <c r="C122" t="str">
        <v>מחוזית</v>
      </c>
      <c r="D122" t="str">
        <v>הגליל העליון,מבואות החרמון,משמר הירדן</v>
      </c>
      <c r="E122" t="str">
        <v>במילוי תנאים להפקדה</v>
      </c>
      <c r="F122" t="str">
        <v>כן</v>
      </c>
      <c r="G122" t="str">
        <v>כן</v>
      </c>
      <c r="H122" t="str">
        <v>כן</v>
      </c>
      <c r="I122">
        <f>=HYPERLINK("https://mavat.iplan.gov.il/SV4/1/2005258774/310")</f>
      </c>
    </row>
    <row r="123">
      <c r="A123" t="str">
        <v>603-1068949</v>
      </c>
      <c r="B123" t="str">
        <v>תחנת שאיבה מזרחית, אשדוד</v>
      </c>
      <c r="C123" t="str">
        <v>מחוזית</v>
      </c>
      <c r="D123" t="str">
        <v>אשדוד</v>
      </c>
      <c r="E123" t="str">
        <v>במילוי תנאים להפקדה</v>
      </c>
      <c r="F123" t="str">
        <v>כן</v>
      </c>
      <c r="G123" t="str">
        <v>כן</v>
      </c>
      <c r="H123" t="str">
        <v>כן</v>
      </c>
      <c r="I123">
        <f>=HYPERLINK("https://mavat.iplan.gov.il/SV4/1/6005212608/310")</f>
      </c>
    </row>
    <row r="124">
      <c r="A124" t="str">
        <v>612-1352442</v>
      </c>
      <c r="B124" t="str">
        <v>הוראות להקמת יחידות אירוח במגרשי מגורים, ירוחם</v>
      </c>
      <c r="C124" t="str">
        <v>מחוזית</v>
      </c>
      <c r="D124" t="str">
        <v>ירוחם</v>
      </c>
      <c r="E124" t="str">
        <v>במילוי תנאים להפקדה</v>
      </c>
      <c r="F124" t="str">
        <v>כן</v>
      </c>
      <c r="G124" t="str">
        <v>כן</v>
      </c>
      <c r="H124" t="str">
        <v>כן</v>
      </c>
      <c r="I124">
        <f>=HYPERLINK("https://mavat.iplan.gov.il/SV4/1/6005391176/310")</f>
      </c>
    </row>
    <row r="125">
      <c r="A125" t="str">
        <v>625-1495134</v>
      </c>
      <c r="B125" t="str">
        <v>קו ביוב מחבר תח' מערבית למט"ש שדה תימן</v>
      </c>
      <c r="C125" t="str">
        <v>מחוזית</v>
      </c>
      <c r="D125" t="str">
        <v>בני שמעון</v>
      </c>
      <c r="E125" t="str">
        <v>במילוי תנאים להפקדה</v>
      </c>
      <c r="F125" t="str">
        <v>כן</v>
      </c>
      <c r="G125" t="str">
        <v>כן</v>
      </c>
      <c r="H125" t="str">
        <v>כן</v>
      </c>
      <c r="I125">
        <f>=HYPERLINK("https://mavat.iplan.gov.il/SV4/1/6005478260/310")</f>
      </c>
    </row>
    <row r="126">
      <c r="A126" t="str">
        <v>304-1335231</v>
      </c>
      <c r="B126" t="str">
        <v>פינוי בינוי מתחם 12 - קרית אליעזר</v>
      </c>
      <c r="C126" t="str">
        <v>מחוזית</v>
      </c>
      <c r="D126" t="str">
        <v>חיפה</v>
      </c>
      <c r="E126" t="str">
        <v>במילוי תנאים להפקדה</v>
      </c>
      <c r="F126" t="str">
        <v>כן</v>
      </c>
      <c r="G126" t="str">
        <v>כן</v>
      </c>
      <c r="H126" t="str">
        <v>כן</v>
      </c>
      <c r="I126">
        <f>=HYPERLINK("https://mavat.iplan.gov.il/SV4/1/3005380642/310")</f>
      </c>
    </row>
    <row r="127">
      <c r="A127" t="str">
        <v>428-1463165</v>
      </c>
      <c r="B127" t="str">
        <v>תכנית עוגנים - כפר יונה</v>
      </c>
      <c r="C127" t="str">
        <v>מחוזית</v>
      </c>
      <c r="D127" t="str">
        <v>כפר יונה</v>
      </c>
      <c r="E127" t="str">
        <v>במילוי תנאים להפקדה</v>
      </c>
      <c r="F127" t="str">
        <v>כן</v>
      </c>
      <c r="G127" t="str">
        <v>כן</v>
      </c>
      <c r="H127" t="str">
        <v>כן</v>
      </c>
      <c r="I127">
        <f>=HYPERLINK("https://mavat.iplan.gov.il/SV4/1/4005458898/310")</f>
      </c>
    </row>
    <row r="128">
      <c r="A128" t="str">
        <v>462-1012764</v>
      </c>
      <c r="B128" t="str">
        <v>גן יבנה על הפארק</v>
      </c>
      <c r="C128" t="str">
        <v>מחוזית</v>
      </c>
      <c r="D128" t="str">
        <v>גן יבנה</v>
      </c>
      <c r="E128" t="str">
        <v>במילוי תנאים להפקדה</v>
      </c>
      <c r="F128" t="str">
        <v>כן</v>
      </c>
      <c r="G128" t="str">
        <v>כן</v>
      </c>
      <c r="H128" t="str">
        <v>כן</v>
      </c>
      <c r="I128">
        <f>=HYPERLINK("https://mavat.iplan.gov.il/SV4/1/4005173366/310")</f>
      </c>
    </row>
    <row r="129">
      <c r="A129" t="str">
        <v>603-0858191</v>
      </c>
      <c r="B129" t="str">
        <v>מגרש 3 מע"ר צפון אשדוד</v>
      </c>
      <c r="C129" t="str">
        <v>מחוזית</v>
      </c>
      <c r="D129" t="str">
        <v>אשדוד</v>
      </c>
      <c r="E129" t="str">
        <v>במילוי תנאים להפקדה</v>
      </c>
      <c r="F129" t="str">
        <v>כן</v>
      </c>
      <c r="G129" t="str">
        <v>כן</v>
      </c>
      <c r="H129" t="str">
        <v>כן</v>
      </c>
      <c r="I129">
        <f>=HYPERLINK("https://mavat.iplan.gov.il/SV4/1/6005068608/310")</f>
      </c>
    </row>
    <row r="130">
      <c r="A130" t="str">
        <v>652-0870543</v>
      </c>
      <c r="B130" t="str">
        <v>מבואה צפונית ליישוב ערערה בנגב</v>
      </c>
      <c r="C130" t="str">
        <v>מחוזית</v>
      </c>
      <c r="D130" t="str">
        <v>גלילית מחוז הדרום,נגב מזרחי,ערערה בנגב,שטח גלילי- מחוז דרום</v>
      </c>
      <c r="E130" t="str">
        <v>במילוי תנאים להפקדה</v>
      </c>
      <c r="F130" t="str">
        <v>כן</v>
      </c>
      <c r="G130" t="str">
        <v>כן</v>
      </c>
      <c r="H130" t="str">
        <v>כן</v>
      </c>
      <c r="I130">
        <f>=HYPERLINK("https://mavat.iplan.gov.il/SV4/1/6005075782/310")</f>
      </c>
    </row>
    <row r="131">
      <c r="A131" t="str">
        <v>633-1489145</v>
      </c>
      <c r="B131" t="str">
        <v>גברעם_ תוספת שימושים וזכויות בניה</v>
      </c>
      <c r="C131" t="str">
        <v>מחוזית</v>
      </c>
      <c r="D131" t="str">
        <v>גברעם,חוף אשקלון</v>
      </c>
      <c r="E131" t="str">
        <v>במילוי תנאים להפקדה</v>
      </c>
      <c r="F131" t="str">
        <v>כן</v>
      </c>
      <c r="G131" t="str">
        <v>כן</v>
      </c>
      <c r="H131" t="str">
        <v>כן</v>
      </c>
      <c r="I131">
        <f>=HYPERLINK("https://mavat.iplan.gov.il/SV4/1/6005474538/310")</f>
      </c>
    </row>
    <row r="132">
      <c r="A132" t="str">
        <v>253-1239532</v>
      </c>
      <c r="B132" t="str">
        <v>הקמת רפת ומתקן פוטוולטאי דפנה</v>
      </c>
      <c r="C132" t="str">
        <v>מחוזית</v>
      </c>
      <c r="D132" t="str">
        <v>דפנה,הגליל העליון</v>
      </c>
      <c r="E132" t="str">
        <v>במילוי תנאים להפקדה</v>
      </c>
      <c r="F132" t="str">
        <v>כן</v>
      </c>
      <c r="G132" t="str">
        <v>כן</v>
      </c>
      <c r="H132" t="str">
        <v>כן</v>
      </c>
      <c r="I132">
        <f>=HYPERLINK("https://mavat.iplan.gov.il/SV4/1/2005320044/310")</f>
      </c>
    </row>
    <row r="133">
      <c r="A133" t="str">
        <v>254-1053693</v>
      </c>
      <c r="B133" t="str">
        <v>אתר ג'וערה - מבואה לפארק רמות מנשה</v>
      </c>
      <c r="C133" t="str">
        <v>מחוזית</v>
      </c>
      <c r="D133" t="str">
        <v>יזרעאלים,מגידו</v>
      </c>
      <c r="E133" t="str">
        <v>במילוי תנאים להפקדה</v>
      </c>
      <c r="F133" t="str">
        <v>כן</v>
      </c>
      <c r="G133" t="str">
        <v>כן</v>
      </c>
      <c r="H133" t="str">
        <v>כן</v>
      </c>
      <c r="I133">
        <f>=HYPERLINK("https://mavat.iplan.gov.il/SV4/1/2005203544/310")</f>
      </c>
    </row>
    <row r="134">
      <c r="A134" t="str">
        <v>302-1370535</v>
      </c>
      <c r="B134" t="str">
        <v>חדרה - פרדס ביל"ו</v>
      </c>
      <c r="C134" t="str">
        <v>מחוזית</v>
      </c>
      <c r="D134" t="str">
        <v>חדרה</v>
      </c>
      <c r="E134" t="str">
        <v>במילוי תנאים להפקדה</v>
      </c>
      <c r="F134" t="str">
        <v>כן</v>
      </c>
      <c r="G134" t="str">
        <v>כן</v>
      </c>
      <c r="H134" t="str">
        <v>כן</v>
      </c>
      <c r="I134">
        <f>=HYPERLINK("https://mavat.iplan.gov.il/SV4/1/3005402820/310")</f>
      </c>
    </row>
    <row r="135">
      <c r="A135" t="str">
        <v>412-1281716</v>
      </c>
      <c r="B135" t="str">
        <v>נורדיה-שינוי יעוד וחלוקה למגרשים באזור מבני המשק</v>
      </c>
      <c r="C135" t="str">
        <v>מחוזית</v>
      </c>
      <c r="D135" t="str">
        <v>לב השרון,נורדיה</v>
      </c>
      <c r="E135" t="str">
        <v>במילוי תנאים להפקדה</v>
      </c>
      <c r="F135" t="str">
        <v>כן</v>
      </c>
      <c r="G135" t="str">
        <v>כן</v>
      </c>
      <c r="H135" t="str">
        <v>כן</v>
      </c>
      <c r="I135">
        <f>=HYPERLINK("https://mavat.iplan.gov.il/SV4/1/4005345908/310")</f>
      </c>
    </row>
    <row r="136">
      <c r="A136" t="str">
        <v>414-1297266</v>
      </c>
      <c r="B136" t="str">
        <v>פארק הדרים - רחובות</v>
      </c>
      <c r="C136" t="str">
        <v>מחוזית</v>
      </c>
      <c r="D136" t="str">
        <v>רחובות</v>
      </c>
      <c r="E136" t="str">
        <v>במילוי תנאים להפקדה</v>
      </c>
      <c r="F136" t="str">
        <v>כן</v>
      </c>
      <c r="G136" t="str">
        <v>כן</v>
      </c>
      <c r="H136" t="str">
        <v>כן</v>
      </c>
      <c r="I136">
        <f>=HYPERLINK("https://mavat.iplan.gov.il/SV4/1/4005356524/310")</f>
      </c>
    </row>
    <row r="137">
      <c r="A137" t="str">
        <v>611-1325984</v>
      </c>
      <c r="B137" t="str">
        <v>שינוי ייעוד במתחמי קהילת מילנו - קופנהגן א.ת. שדרות</v>
      </c>
      <c r="C137" t="str">
        <v>מחוזית</v>
      </c>
      <c r="D137" t="str">
        <v>שדרות</v>
      </c>
      <c r="E137" t="str">
        <v>במילוי תנאים להפקדה</v>
      </c>
      <c r="F137" t="str">
        <v>כן</v>
      </c>
      <c r="G137" t="str">
        <v>כן</v>
      </c>
      <c r="H137" t="str">
        <v>כן</v>
      </c>
      <c r="I137">
        <f>=HYPERLINK("https://mavat.iplan.gov.il/SV4/1/6005375224/310")</f>
      </c>
    </row>
    <row r="138">
      <c r="A138" t="str">
        <v>652-1445741</v>
      </c>
      <c r="B138" t="str">
        <v>הרחבה דרומית לשכונה 6 ביישוב שגב שלום</v>
      </c>
      <c r="C138" t="str">
        <v>מחוזית</v>
      </c>
      <c r="D138" t="str">
        <v>נגב מזרחי,שגב שלום</v>
      </c>
      <c r="E138" t="str">
        <v>במילוי תנאים להפקדה</v>
      </c>
      <c r="F138" t="str">
        <v>כן</v>
      </c>
      <c r="G138" t="str">
        <v>כן</v>
      </c>
      <c r="H138" t="str">
        <v>כן</v>
      </c>
      <c r="I138">
        <f>=HYPERLINK("https://mavat.iplan.gov.il/SV4/1/6005448410/310")</f>
      </c>
    </row>
    <row r="139">
      <c r="A139" t="str">
        <v>יוש/ 6/ 1/ 403</v>
      </c>
      <c r="B139" t="str">
        <v>ראש צורים קביעת השימושים המותרים ביעודי הקרקע</v>
      </c>
      <c r="C139" t="str">
        <v>יו"ש -מועצת התכנון העליונה</v>
      </c>
      <c r="D139" t="str">
        <v>גוש עציון,ראש צורים</v>
      </c>
      <c r="E139" t="str">
        <v>במילוי תנאים להפקדה</v>
      </c>
      <c r="F139" t="str">
        <v>כן</v>
      </c>
      <c r="G139" t="str">
        <v>כן</v>
      </c>
      <c r="H139" t="str">
        <v>לא</v>
      </c>
      <c r="I139">
        <f>=HYPERLINK("https://mavat.iplan.gov.il/SV4/1/7005388564/310")</f>
      </c>
    </row>
    <row r="140">
      <c r="A140" t="str">
        <v>303-0916858</v>
      </c>
      <c r="B140" t="str">
        <v>שכונת נווה משה בעתלית</v>
      </c>
      <c r="C140" t="str">
        <v>מחוזית</v>
      </c>
      <c r="D140" t="str">
        <v>חוף הכרמל,עתלית</v>
      </c>
      <c r="E140" t="str">
        <v>במילוי תנאים להפקדה</v>
      </c>
      <c r="F140" t="str">
        <v>כן</v>
      </c>
      <c r="G140" t="str">
        <v>כן</v>
      </c>
      <c r="H140" t="str">
        <v>כן</v>
      </c>
      <c r="I140">
        <f>=HYPERLINK("https://mavat.iplan.gov.il/SV4/1/3005104410/310")</f>
      </c>
    </row>
    <row r="141">
      <c r="A141" t="str">
        <v>412-0609610</v>
      </c>
      <c r="B141" t="str">
        <v>מט"ש תנובות</v>
      </c>
      <c r="C141" t="str">
        <v>מחוזית</v>
      </c>
      <c r="D141" t="str">
        <v>בארותים,לב השרון,מזרח השרון,עמק חפר,קלנסווה,תנובות</v>
      </c>
      <c r="E141" t="str">
        <v>במילוי תנאים להפקדה</v>
      </c>
      <c r="F141" t="str">
        <v>כן</v>
      </c>
      <c r="G141" t="str">
        <v>כן</v>
      </c>
      <c r="H141" t="str">
        <v>כן</v>
      </c>
      <c r="I141">
        <f>=HYPERLINK("https://mavat.iplan.gov.il/SV4/1/4000919573/310")</f>
      </c>
    </row>
    <row r="142">
      <c r="A142" t="str">
        <v>212-1430412</v>
      </c>
      <c r="B142" t="str">
        <v>ג/ 29516 הרחבת דרך מנחם אריאב - נוף הגליל</v>
      </c>
      <c r="C142" t="str">
        <v>מחוזית</v>
      </c>
      <c r="D142" t="str">
        <v>נוף הגליל</v>
      </c>
      <c r="E142" t="str">
        <v>במילוי תנאים להפקדה</v>
      </c>
      <c r="F142" t="str">
        <v>כן</v>
      </c>
      <c r="G142" t="str">
        <v>כן</v>
      </c>
      <c r="H142" t="str">
        <v>כן</v>
      </c>
      <c r="I142">
        <f>=HYPERLINK("https://mavat.iplan.gov.il/SV4/1/2005438760/310")</f>
      </c>
    </row>
    <row r="143">
      <c r="A143" t="str">
        <v>417-1254630</v>
      </c>
      <c r="B143" t="str">
        <v>צור יצחק-תוספת זכויות למגורים</v>
      </c>
      <c r="C143" t="str">
        <v>מחוזית</v>
      </c>
      <c r="D143" t="str">
        <v>דרום השרון</v>
      </c>
      <c r="E143" t="str">
        <v>במילוי תנאים להפקדה</v>
      </c>
      <c r="F143" t="str">
        <v>כן</v>
      </c>
      <c r="G143" t="str">
        <v>כן</v>
      </c>
      <c r="H143" t="str">
        <v>כן</v>
      </c>
      <c r="I143">
        <f>=HYPERLINK("https://mavat.iplan.gov.il/SV4/1/4005329276/310")</f>
      </c>
    </row>
    <row r="144">
      <c r="A144" t="str">
        <v>101-1406552</v>
      </c>
      <c r="B144" t="str">
        <v>חיל האוויר - התחדשות עירונית בצפון פסגת זאב</v>
      </c>
      <c r="C144" t="str">
        <v>מחוזית</v>
      </c>
      <c r="D144" t="str">
        <v>ירושלים</v>
      </c>
      <c r="E144" t="str">
        <v>במילוי תנאים להפקדה</v>
      </c>
      <c r="F144" t="str">
        <v>כן</v>
      </c>
      <c r="G144" t="str">
        <v>כן</v>
      </c>
      <c r="H144" t="str">
        <v>כן</v>
      </c>
      <c r="I144">
        <f>=HYPERLINK("https://mavat.iplan.gov.il/SV4/1/1005424692/310")</f>
      </c>
    </row>
    <row r="145">
      <c r="A145" t="str">
        <v>207-1414788</v>
      </c>
      <c r="B145" t="str">
        <v>התחדשות עירונית מתחם בר כוכבא, טבריה</v>
      </c>
      <c r="C145" t="str">
        <v>מחוזית</v>
      </c>
      <c r="D145" t="str">
        <v>טבריה</v>
      </c>
      <c r="E145" t="str">
        <v>במילוי תנאים להפקדה</v>
      </c>
      <c r="F145" t="str">
        <v>כן</v>
      </c>
      <c r="G145" t="str">
        <v>כן</v>
      </c>
      <c r="H145" t="str">
        <v>כן</v>
      </c>
      <c r="I145">
        <f>=HYPERLINK("https://mavat.iplan.gov.il/SV4/1/2005429544/310")</f>
      </c>
    </row>
    <row r="146">
      <c r="A146" t="str">
        <v>208-1355692</v>
      </c>
      <c r="B146" t="str">
        <v>מתחם התמר- כרמיאל</v>
      </c>
      <c r="C146" t="str">
        <v>מחוזית</v>
      </c>
      <c r="D146" t="str">
        <v>כרמיאל</v>
      </c>
      <c r="E146" t="str">
        <v>במילוי תנאים להפקדה</v>
      </c>
      <c r="F146" t="str">
        <v>כן</v>
      </c>
      <c r="G146" t="str">
        <v>כן</v>
      </c>
      <c r="H146" t="str">
        <v>כן</v>
      </c>
      <c r="I146">
        <f>=HYPERLINK("https://mavat.iplan.gov.il/SV4/1/2005393342/310")</f>
      </c>
    </row>
    <row r="147">
      <c r="A147" t="str">
        <v>253-0747477</v>
      </c>
      <c r="B147" t="str">
        <v>גן לאומי מרחב קדש  ג/27254</v>
      </c>
      <c r="C147" t="str">
        <v>מחוזית</v>
      </c>
      <c r="D147" t="str">
        <v>הגליל העליון</v>
      </c>
      <c r="E147" t="str">
        <v>במילוי תנאים להפקדה</v>
      </c>
      <c r="F147" t="str">
        <v>כן</v>
      </c>
      <c r="G147" t="str">
        <v>כן</v>
      </c>
      <c r="H147" t="str">
        <v>כן</v>
      </c>
      <c r="I147">
        <f>=HYPERLINK("https://mavat.iplan.gov.il/SV4/1/2001002019/310")</f>
      </c>
    </row>
    <row r="148">
      <c r="A148" t="str">
        <v>625-0998823</v>
      </c>
      <c r="B148" t="str">
        <v>מושב נבטים - תוכנית מתאר מקומית</v>
      </c>
      <c r="C148" t="str">
        <v>מחוזית</v>
      </c>
      <c r="D148" t="str">
        <v>בני שמעון</v>
      </c>
      <c r="E148" t="str">
        <v>במילוי תנאים להפקדה</v>
      </c>
      <c r="F148" t="str">
        <v>כן</v>
      </c>
      <c r="G148" t="str">
        <v>כן</v>
      </c>
      <c r="H148" t="str">
        <v>כן</v>
      </c>
      <c r="I148">
        <f>=HYPERLINK("https://mavat.iplan.gov.il/SV4/1/6005153880/310")</f>
      </c>
    </row>
    <row r="149">
      <c r="A149" t="str">
        <v>651-0913772</v>
      </c>
      <c r="B149" t="str">
        <v>תכנית מתאר - תלמי ביל"ו</v>
      </c>
      <c r="C149" t="str">
        <v>מחוזית</v>
      </c>
      <c r="D149" t="str">
        <v>מרחבים,נגב מערבי,תלמי ביל"ו</v>
      </c>
      <c r="E149" t="str">
        <v>במילוי תנאים להפקדה</v>
      </c>
      <c r="F149" t="str">
        <v>כן</v>
      </c>
      <c r="G149" t="str">
        <v>כן</v>
      </c>
      <c r="H149" t="str">
        <v>כן</v>
      </c>
      <c r="I149">
        <f>=HYPERLINK("https://mavat.iplan.gov.il/SV4/1/6005102264/310")</f>
      </c>
    </row>
    <row r="150">
      <c r="A150" t="str">
        <v>651-1112317</v>
      </c>
      <c r="B150" t="str">
        <v>הרחבת מושב תלמי ביל"ו</v>
      </c>
      <c r="C150" t="str">
        <v>מחוזית</v>
      </c>
      <c r="D150" t="str">
        <v>מרחבים,נגב מערבי,תלמי ביל"ו</v>
      </c>
      <c r="E150" t="str">
        <v>במילוי תנאים להפקדה</v>
      </c>
      <c r="F150" t="str">
        <v>כן</v>
      </c>
      <c r="G150" t="str">
        <v>כן</v>
      </c>
      <c r="H150" t="str">
        <v>כן</v>
      </c>
      <c r="I150">
        <f>=HYPERLINK("https://mavat.iplan.gov.il/SV4/1/6005239374/310")</f>
      </c>
    </row>
    <row r="151">
      <c r="A151" t="str">
        <v>652-1327113</v>
      </c>
      <c r="B151" t="str">
        <v>לקיה - עיבוי זכויות בניה למגורים ולמבנים ומוסדות ציבור</v>
      </c>
      <c r="C151" t="str">
        <v>מחוזית</v>
      </c>
      <c r="D151" t="str">
        <v>לקיה,נגב מזרחי</v>
      </c>
      <c r="E151" t="str">
        <v>במילוי תנאים להפקדה</v>
      </c>
      <c r="F151" t="str">
        <v>כן</v>
      </c>
      <c r="G151" t="str">
        <v>כן</v>
      </c>
      <c r="H151" t="str">
        <v>כן</v>
      </c>
      <c r="I151">
        <f>=HYPERLINK("https://mavat.iplan.gov.il/SV4/1/6005375784/310")</f>
      </c>
    </row>
    <row r="152">
      <c r="A152" t="str">
        <v>656-1143635</v>
      </c>
      <c r="B152" t="str">
        <v>מרכז מסחרי וכפר מטיילים נווה זוהר</v>
      </c>
      <c r="C152" t="str">
        <v>מחוזית</v>
      </c>
      <c r="D152" t="str">
        <v>נוה זהר,תמר</v>
      </c>
      <c r="E152" t="str">
        <v>במילוי תנאים להפקדה</v>
      </c>
      <c r="F152" t="str">
        <v>כן</v>
      </c>
      <c r="G152" t="str">
        <v>כן</v>
      </c>
      <c r="H152" t="str">
        <v>כן</v>
      </c>
      <c r="I152">
        <f>=HYPERLINK("https://mavat.iplan.gov.il/SV4/1/6005259286/310")</f>
      </c>
    </row>
    <row r="153">
      <c r="A153" t="str">
        <v>101-1251222</v>
      </c>
      <c r="B153" t="str">
        <v>התחדשות עירונית- הגננת 238</v>
      </c>
      <c r="C153" t="str">
        <v>מחוזית</v>
      </c>
      <c r="D153" t="str">
        <v>ירושלים</v>
      </c>
      <c r="E153" t="str">
        <v>במילוי תנאים להפקדה</v>
      </c>
      <c r="F153" t="str">
        <v>כן</v>
      </c>
      <c r="G153" t="str">
        <v>כן</v>
      </c>
      <c r="H153" t="str">
        <v>כן</v>
      </c>
      <c r="I153">
        <f>=HYPERLINK("https://mavat.iplan.gov.il/SV4/1/1005327098/310")</f>
      </c>
    </row>
    <row r="154">
      <c r="A154" t="str">
        <v>304-1267301</v>
      </c>
      <c r="B154" t="str">
        <v>חפ/2/2350 - התחדשות עירונית ברחוב יהושפט המלך בשכונת נווה דוד</v>
      </c>
      <c r="C154" t="str">
        <v>מחוזית</v>
      </c>
      <c r="D154" t="str">
        <v>חיפה</v>
      </c>
      <c r="E154" t="str">
        <v>במילוי תנאים להפקדה</v>
      </c>
      <c r="F154" t="str">
        <v>כן</v>
      </c>
      <c r="G154" t="str">
        <v>כן</v>
      </c>
      <c r="H154" t="str">
        <v>כן</v>
      </c>
      <c r="I154">
        <f>=HYPERLINK("https://mavat.iplan.gov.il/SV4/1/3005337250/310")</f>
      </c>
    </row>
    <row r="155">
      <c r="A155" t="str">
        <v>352-1342344</v>
      </c>
      <c r="B155" t="str">
        <v>פינוי בינוי,  רח' שרת, קריית ים</v>
      </c>
      <c r="C155" t="str">
        <v>מחוזית</v>
      </c>
      <c r="D155" t="str">
        <v>קריות,קרית ים</v>
      </c>
      <c r="E155" t="str">
        <v>במילוי תנאים להפקדה</v>
      </c>
      <c r="F155" t="str">
        <v>כן</v>
      </c>
      <c r="G155" t="str">
        <v>כן</v>
      </c>
      <c r="H155" t="str">
        <v>כן</v>
      </c>
      <c r="I155">
        <f>=HYPERLINK("https://mavat.iplan.gov.il/SV4/1/3005384930/310")</f>
      </c>
    </row>
    <row r="156">
      <c r="A156" t="str">
        <v>404-1421098</v>
      </c>
      <c r="B156" t="str">
        <v>יבנה - פארק השרון - תוספת שטחי מסחר</v>
      </c>
      <c r="C156" t="str">
        <v>מחוזית</v>
      </c>
      <c r="D156" t="str">
        <v>יבנה</v>
      </c>
      <c r="E156" t="str">
        <v>במילוי תנאים להפקדה</v>
      </c>
      <c r="F156" t="str">
        <v>כן</v>
      </c>
      <c r="G156" t="str">
        <v>כן</v>
      </c>
      <c r="H156" t="str">
        <v>כן</v>
      </c>
      <c r="I156">
        <f>=HYPERLINK("https://mavat.iplan.gov.il/SV4/1/4005433544/310")</f>
      </c>
    </row>
    <row r="157">
      <c r="A157" t="str">
        <v>412-0530493</v>
      </c>
      <c r="B157" t="str">
        <v>מושב צור משה</v>
      </c>
      <c r="C157" t="str">
        <v>מחוזית</v>
      </c>
      <c r="D157" t="str">
        <v>לב השרון,צור משה</v>
      </c>
      <c r="E157" t="str">
        <v>במילוי תנאים להפקדה</v>
      </c>
      <c r="F157" t="str">
        <v>כן</v>
      </c>
      <c r="G157" t="str">
        <v>כן</v>
      </c>
      <c r="H157" t="str">
        <v>כן</v>
      </c>
      <c r="I157">
        <f>=HYPERLINK("https://mavat.iplan.gov.il/SV4/1/4000867775/310")</f>
      </c>
    </row>
    <row r="158">
      <c r="A158" t="str">
        <v>151-1467000</v>
      </c>
      <c r="B158" t="str">
        <v>מרכז לוגיסטי, חלקות 11,12  באזור תעשיה הר-טוב</v>
      </c>
      <c r="C158" t="str">
        <v>מחוזית</v>
      </c>
      <c r="D158" t="str">
        <v>מטה יהודה</v>
      </c>
      <c r="E158" t="str">
        <v>במילוי תנאים להפקדה</v>
      </c>
      <c r="F158" t="str">
        <v>כן</v>
      </c>
      <c r="G158" t="str">
        <v>כן</v>
      </c>
      <c r="H158" t="str">
        <v>כן</v>
      </c>
      <c r="I158">
        <f>=HYPERLINK("https://mavat.iplan.gov.il/SV4/1/1005461392/310")</f>
      </c>
    </row>
    <row r="159">
      <c r="A159" t="str">
        <v>201-1310457</v>
      </c>
      <c r="B159" t="str">
        <v>ג/29008 רגבה- מלונאות ומסחר</v>
      </c>
      <c r="C159" t="str">
        <v>מחוזית</v>
      </c>
      <c r="D159" t="str">
        <v>חבל אשר</v>
      </c>
      <c r="E159" t="str">
        <v>במילוי תנאים להפקדה</v>
      </c>
      <c r="F159" t="str">
        <v>כן</v>
      </c>
      <c r="G159" t="str">
        <v>כן</v>
      </c>
      <c r="H159" t="str">
        <v>כן</v>
      </c>
      <c r="I159">
        <f>=HYPERLINK("https://mavat.iplan.gov.il/SV4/1/2005365034/310")</f>
      </c>
    </row>
    <row r="160">
      <c r="A160" t="str">
        <v>633-1326701</v>
      </c>
      <c r="B160" t="str">
        <v>מתקן אגרו-וולטאי בשטחי מושב גיאה</v>
      </c>
      <c r="C160" t="str">
        <v>מחוזית</v>
      </c>
      <c r="D160" t="str">
        <v>גיאה,חוף אשקלון</v>
      </c>
      <c r="E160" t="str">
        <v>במילוי תנאים להפקדה</v>
      </c>
      <c r="F160" t="str">
        <v>כן</v>
      </c>
      <c r="G160" t="str">
        <v>כן</v>
      </c>
      <c r="H160" t="str">
        <v>כן</v>
      </c>
      <c r="I160">
        <f>=HYPERLINK("https://mavat.iplan.gov.il/SV4/1/6005375566/310")</f>
      </c>
    </row>
    <row r="161">
      <c r="A161" t="str">
        <v>651-1298314</v>
      </c>
      <c r="B161" t="str">
        <v>מתקן אגרו וולטאי במושב רנן</v>
      </c>
      <c r="C161" t="str">
        <v>מחוזית</v>
      </c>
      <c r="D161" t="str">
        <v>מרחבים,נגב מערבי,רנן</v>
      </c>
      <c r="E161" t="str">
        <v>במילוי תנאים להפקדה</v>
      </c>
      <c r="F161" t="str">
        <v>כן</v>
      </c>
      <c r="G161" t="str">
        <v>כן</v>
      </c>
      <c r="H161" t="str">
        <v>כן</v>
      </c>
      <c r="I161">
        <f>=HYPERLINK("https://mavat.iplan.gov.il/SV4/1/6005357198/310")</f>
      </c>
    </row>
    <row r="162">
      <c r="A162" t="str">
        <v>651-1350149</v>
      </c>
      <c r="B162" t="str">
        <v>מתקן אגרו וולטאי בשטחי מושב שדה צבי</v>
      </c>
      <c r="C162" t="str">
        <v>מחוזית</v>
      </c>
      <c r="D162" t="str">
        <v>מרחבים,נגב מערבי,שדה צבי</v>
      </c>
      <c r="E162" t="str">
        <v>במילוי תנאים להפקדה</v>
      </c>
      <c r="F162" t="str">
        <v>כן</v>
      </c>
      <c r="G162" t="str">
        <v>כן</v>
      </c>
      <c r="H162" t="str">
        <v>כן</v>
      </c>
      <c r="I162">
        <f>=HYPERLINK("https://mavat.iplan.gov.il/SV4/1/6005389456/310")</f>
      </c>
    </row>
    <row r="163">
      <c r="A163" t="str">
        <v>651-1365345</v>
      </c>
      <c r="B163" t="str">
        <v>מתקן משולב אגרו ופוטו וולטאי בקיבוץ עלומים</v>
      </c>
      <c r="C163" t="str">
        <v>מחוזית</v>
      </c>
      <c r="D163" t="str">
        <v>נגב מערבי,עלומים,שדות נגב</v>
      </c>
      <c r="E163" t="str">
        <v>במילוי תנאים להפקדה</v>
      </c>
      <c r="F163" t="str">
        <v>כן</v>
      </c>
      <c r="G163" t="str">
        <v>כן</v>
      </c>
      <c r="H163" t="str">
        <v>כן</v>
      </c>
      <c r="I163">
        <f>=HYPERLINK("https://mavat.iplan.gov.il/SV4/1/6005399346/310")</f>
      </c>
    </row>
    <row r="164">
      <c r="A164" t="str">
        <v>יוש/ 4/ 169</v>
      </c>
      <c r="B164" t="str">
        <v>יצהר, קביעת השימושים המותרים ביעודי הקרקע</v>
      </c>
      <c r="C164" t="str">
        <v>יו"ש -מועצת התכנון העליונה</v>
      </c>
      <c r="D164" t="str">
        <v>יצהר,שומרון</v>
      </c>
      <c r="E164" t="str">
        <v>במילוי תנאים להפקדה</v>
      </c>
      <c r="F164" t="str">
        <v>כן</v>
      </c>
      <c r="G164" t="str">
        <v>כן</v>
      </c>
      <c r="H164" t="str">
        <v>לא</v>
      </c>
      <c r="I164">
        <f>=HYPERLINK("https://mavat.iplan.gov.il/SV4/1/7005389606/310")</f>
      </c>
    </row>
    <row r="165">
      <c r="A165" t="str">
        <v>254-1264399</v>
      </c>
      <c r="B165" t="str">
        <v>קיבוץ הרדוף. שינוי יעוד  וחלוקה תכנונית מחודשת במגרשים 1303,744,904</v>
      </c>
      <c r="C165" t="str">
        <v>מחוזית</v>
      </c>
      <c r="D165" t="str">
        <v>יזרעאלים,עמק יזרעאל</v>
      </c>
      <c r="E165" t="str">
        <v>במילוי תנאים להפקדה</v>
      </c>
      <c r="F165" t="str">
        <v>כן</v>
      </c>
      <c r="G165" t="str">
        <v>כן</v>
      </c>
      <c r="H165" t="str">
        <v>כן</v>
      </c>
      <c r="I165">
        <f>=HYPERLINK("https://mavat.iplan.gov.il/SV4/1/2005335264/310")</f>
      </c>
    </row>
    <row r="166">
      <c r="A166" t="str">
        <v>415-1254580</v>
      </c>
      <c r="B166" t="str">
        <v>תכנית מתאר כוללנית רמלה</v>
      </c>
      <c r="C166" t="str">
        <v>מחוזית</v>
      </c>
      <c r="D166" t="str">
        <v>רמלה</v>
      </c>
      <c r="E166" t="str">
        <v>במילוי תנאים להפקדה</v>
      </c>
      <c r="F166" t="str">
        <v>כן</v>
      </c>
      <c r="G166" t="str">
        <v>כן</v>
      </c>
      <c r="H166" t="str">
        <v>כן</v>
      </c>
      <c r="I166">
        <f>=HYPERLINK("https://mavat.iplan.gov.il/SV4/1/4005329250/310")</f>
      </c>
    </row>
    <row r="167">
      <c r="A167" t="str">
        <v>456-1268515</v>
      </c>
      <c r="B167" t="str">
        <v>בר/3/118 שערי אברהם - בסיס הדרכה ארצי שב"ס</v>
      </c>
      <c r="C167" t="str">
        <v>מחוזית</v>
      </c>
      <c r="D167" t="str">
        <v>נחל שורק,שורקות</v>
      </c>
      <c r="E167" t="str">
        <v>במילוי תנאים להפקדה</v>
      </c>
      <c r="F167" t="str">
        <v>כן</v>
      </c>
      <c r="G167" t="str">
        <v>כן</v>
      </c>
      <c r="H167" t="str">
        <v>כן</v>
      </c>
      <c r="I167">
        <f>=HYPERLINK("https://mavat.iplan.gov.il/SV4/1/4005337808/310")</f>
      </c>
    </row>
    <row r="168">
      <c r="A168" t="str">
        <v>503-1323856</v>
      </c>
      <c r="B168" t="str">
        <v>תכנית מפורטת להתחדשות עירונית - מרחב תחנת המטרו נגה גבעתיים</v>
      </c>
      <c r="C168" t="str">
        <v>מחוזית</v>
      </c>
      <c r="D168" t="str">
        <v>גבעתיים</v>
      </c>
      <c r="E168" t="str">
        <v>במילוי תנאים להפקדה</v>
      </c>
      <c r="F168" t="str">
        <v>כן</v>
      </c>
      <c r="G168" t="str">
        <v>כן</v>
      </c>
      <c r="H168" t="str">
        <v>כן</v>
      </c>
      <c r="I168">
        <f>=HYPERLINK("https://mavat.iplan.gov.il/SV4/1/5005373838/310")</f>
      </c>
    </row>
    <row r="169">
      <c r="A169" t="str">
        <v>151-1047323</v>
      </c>
      <c r="B169" t="str">
        <v>גן לאומי - חאן שער הגיא</v>
      </c>
      <c r="C169" t="str">
        <v>מחוזית</v>
      </c>
      <c r="D169" t="str">
        <v>מטה יהודה</v>
      </c>
      <c r="E169" t="str">
        <v>במילוי תנאים להפקדה</v>
      </c>
      <c r="F169" t="str">
        <v>כן</v>
      </c>
      <c r="G169" t="str">
        <v>כן</v>
      </c>
      <c r="H169" t="str">
        <v>כן</v>
      </c>
      <c r="I169">
        <f>=HYPERLINK("https://mavat.iplan.gov.il/SV4/1/1005200116/310")</f>
      </c>
    </row>
    <row r="170">
      <c r="A170" t="str">
        <v>254-1209576</v>
      </c>
      <c r="B170" t="str">
        <v>זרזיר - ג'ואמיס</v>
      </c>
      <c r="C170" t="str">
        <v>מחוזית</v>
      </c>
      <c r="D170" t="str">
        <v>זרזיר,יזרעאלים</v>
      </c>
      <c r="E170" t="str">
        <v>במילוי תנאים להפקדה</v>
      </c>
      <c r="F170" t="str">
        <v>כן</v>
      </c>
      <c r="G170" t="str">
        <v>כן</v>
      </c>
      <c r="H170" t="str">
        <v>כן</v>
      </c>
      <c r="I170">
        <f>=HYPERLINK("https://mavat.iplan.gov.il/SV4/1/2005301124/310")</f>
      </c>
    </row>
    <row r="171">
      <c r="A171" t="str">
        <v>426-1287143</v>
      </c>
      <c r="B171" t="str">
        <v>משק 33 מושב סתריה</v>
      </c>
      <c r="C171" t="str">
        <v>מחוזית</v>
      </c>
      <c r="D171" t="str">
        <v>גזר,סתריה</v>
      </c>
      <c r="E171" t="str">
        <v>במילוי תנאים להפקדה</v>
      </c>
      <c r="F171" t="str">
        <v>כן</v>
      </c>
      <c r="G171" t="str">
        <v>כן</v>
      </c>
      <c r="H171" t="str">
        <v>כן</v>
      </c>
      <c r="I171">
        <f>=HYPERLINK("https://mavat.iplan.gov.il/SV4/1/4005349492/310")</f>
      </c>
    </row>
    <row r="172">
      <c r="A172" t="str">
        <v>614-1468594</v>
      </c>
      <c r="B172" t="str">
        <v>השלמות למסדרון תשתיות למעבר קו חשמל במתח עליון 161 ק"ו עוקף עומר</v>
      </c>
      <c r="C172" t="str">
        <v>מחוזית</v>
      </c>
      <c r="D172" t="str">
        <v>אבו בסמה,אל קסום,עומר</v>
      </c>
      <c r="E172" t="str">
        <v>במילוי תנאים להפקדה</v>
      </c>
      <c r="F172" t="str">
        <v>כן</v>
      </c>
      <c r="G172" t="str">
        <v>כן</v>
      </c>
      <c r="H172" t="str">
        <v>כן</v>
      </c>
      <c r="I172">
        <f>=HYPERLINK("https://mavat.iplan.gov.il/SV4/1/6005462188/310")</f>
      </c>
    </row>
    <row r="173">
      <c r="A173" t="str">
        <v>616-1434463</v>
      </c>
      <c r="B173" t="str">
        <v>כביש גישה לאל עזי</v>
      </c>
      <c r="C173" t="str">
        <v>מחוזית</v>
      </c>
      <c r="D173" t="str">
        <v>באר טוביה</v>
      </c>
      <c r="E173" t="str">
        <v>במילוי תנאים להפקדה</v>
      </c>
      <c r="F173" t="str">
        <v>כן</v>
      </c>
      <c r="G173" t="str">
        <v>כן</v>
      </c>
      <c r="H173" t="str">
        <v>כן</v>
      </c>
      <c r="I173">
        <f>=HYPERLINK("https://mavat.iplan.gov.il/SV4/1/6005441286/310")</f>
      </c>
    </row>
    <row r="174">
      <c r="A174" t="str">
        <v>633-0803569</v>
      </c>
      <c r="B174" t="str">
        <v>שמורת טבע בריכת ניצנים</v>
      </c>
      <c r="C174" t="str">
        <v>מחוזית</v>
      </c>
      <c r="D174" t="str">
        <v>חוף אשקלון</v>
      </c>
      <c r="E174" t="str">
        <v>במילוי תנאים להפקדה</v>
      </c>
      <c r="F174" t="str">
        <v>כן</v>
      </c>
      <c r="G174" t="str">
        <v>כן</v>
      </c>
      <c r="H174" t="str">
        <v>כן</v>
      </c>
      <c r="I174">
        <f>=HYPERLINK("https://mavat.iplan.gov.il/SV4/1/6005036866/310")</f>
      </c>
    </row>
    <row r="175">
      <c r="A175" t="str">
        <v>651-1102490</v>
      </c>
      <c r="B175" t="str">
        <v>מתקן עיכול אנארובי במכון טיהור שפכים באר שבע</v>
      </c>
      <c r="C175" t="str">
        <v>מחוזית</v>
      </c>
      <c r="D175" t="str">
        <v>מרחבים,נגב מערבי</v>
      </c>
      <c r="E175" t="str">
        <v>במילוי תנאים להפקדה</v>
      </c>
      <c r="F175" t="str">
        <v>כן</v>
      </c>
      <c r="G175" t="str">
        <v>כן</v>
      </c>
      <c r="H175" t="str">
        <v>כן</v>
      </c>
      <c r="I175">
        <f>=HYPERLINK("https://mavat.iplan.gov.il/SV4/1/6005233410/310")</f>
      </c>
    </row>
    <row r="176">
      <c r="A176" t="str">
        <v>652-0647099</v>
      </c>
      <c r="B176" t="str">
        <v>מגורים ומבני ציבור בשכונה 20, כסיפה</v>
      </c>
      <c r="C176" t="str">
        <v>מחוזית</v>
      </c>
      <c r="D176" t="str">
        <v>כסייפה,נגב מזרחי</v>
      </c>
      <c r="E176" t="str">
        <v>במילוי תנאים להפקדה</v>
      </c>
      <c r="F176" t="str">
        <v>כן</v>
      </c>
      <c r="G176" t="str">
        <v>כן</v>
      </c>
      <c r="H176" t="str">
        <v>כן</v>
      </c>
      <c r="I176">
        <f>=HYPERLINK("https://mavat.iplan.gov.il/SV4/1/6000940327/310")</f>
      </c>
    </row>
    <row r="177">
      <c r="A177" t="str">
        <v>252-0972927</v>
      </c>
      <c r="B177" t="str">
        <v>הוספת שכנות מגורים בחלקה 71 גוש 18795 אבו סנאן</v>
      </c>
      <c r="C177" t="str">
        <v>מחוזית</v>
      </c>
      <c r="D177" t="str">
        <v>אבו סנאן,הגליל המרכזי</v>
      </c>
      <c r="E177" t="str">
        <v>במילוי תנאים להפקדה</v>
      </c>
      <c r="F177" t="str">
        <v>כן</v>
      </c>
      <c r="G177" t="str">
        <v>כן</v>
      </c>
      <c r="H177" t="str">
        <v>כן</v>
      </c>
      <c r="I177">
        <f>=HYPERLINK("https://mavat.iplan.gov.il/SV4/1/2005137654/310")</f>
      </c>
    </row>
    <row r="178">
      <c r="A178" t="str">
        <v>255-1233006</v>
      </c>
      <c r="B178" t="str">
        <v>כיסרא - מתחם 4.2</v>
      </c>
      <c r="C178" t="str">
        <v>מחוזית</v>
      </c>
      <c r="D178" t="str">
        <v>כסרא-סמיע,מעלה הגליל</v>
      </c>
      <c r="E178" t="str">
        <v>במילוי תנאים להפקדה</v>
      </c>
      <c r="F178" t="str">
        <v>כן</v>
      </c>
      <c r="G178" t="str">
        <v>כן</v>
      </c>
      <c r="H178" t="str">
        <v>כן</v>
      </c>
      <c r="I178">
        <f>=HYPERLINK("https://mavat.iplan.gov.il/SV4/1/2005315816/310")</f>
      </c>
    </row>
    <row r="179">
      <c r="A179" t="str">
        <v>258-0639310</v>
      </c>
      <c r="B179" t="str">
        <v>חורפיש - מתחם תעשיה ומלאכה</v>
      </c>
      <c r="C179" t="str">
        <v>מחוזית</v>
      </c>
      <c r="D179" t="str">
        <v>חורפיש,מעלה נפתלי</v>
      </c>
      <c r="E179" t="str">
        <v>במילוי תנאים להפקדה</v>
      </c>
      <c r="F179" t="str">
        <v>כן</v>
      </c>
      <c r="G179" t="str">
        <v>כן</v>
      </c>
      <c r="H179" t="str">
        <v>כן</v>
      </c>
      <c r="I179">
        <f>=HYPERLINK("https://mavat.iplan.gov.il/SV4/1/2000935701/310")</f>
      </c>
    </row>
    <row r="180">
      <c r="A180" t="str">
        <v>101-1181593</v>
      </c>
      <c r="B180" t="str">
        <v>ירושלים - קרית הממשלה ע"ש מנחם בגין</v>
      </c>
      <c r="C180" t="str">
        <v>מחוזית</v>
      </c>
      <c r="D180" t="str">
        <v>ירושלים</v>
      </c>
      <c r="E180" t="str">
        <v>במילוי תנאים להפקדה</v>
      </c>
      <c r="F180" t="str">
        <v>כן</v>
      </c>
      <c r="G180" t="str">
        <v>כן</v>
      </c>
      <c r="H180" t="str">
        <v>כן</v>
      </c>
      <c r="I180">
        <f>=HYPERLINK("https://mavat.iplan.gov.il/SV4/1/1005281932/310")</f>
      </c>
    </row>
    <row r="181">
      <c r="A181" t="str">
        <v>101-1382423</v>
      </c>
      <c r="B181" t="str">
        <v>מצפה תלפיות</v>
      </c>
      <c r="C181" t="str">
        <v>מחוזית</v>
      </c>
      <c r="D181" t="str">
        <v>ירושלים</v>
      </c>
      <c r="E181" t="str">
        <v>במילוי תנאים להפקדה</v>
      </c>
      <c r="F181" t="str">
        <v>כן</v>
      </c>
      <c r="G181" t="str">
        <v>כן</v>
      </c>
      <c r="H181" t="str">
        <v>כן</v>
      </c>
      <c r="I181">
        <f>=HYPERLINK("https://mavat.iplan.gov.il/SV4/1/1005410300/310")</f>
      </c>
    </row>
    <row r="182">
      <c r="A182" t="str">
        <v>201-1482280</v>
      </c>
      <c r="B182" t="str">
        <v>קו חשמל במתח עליון פארק אקולוגי גליל מערבי</v>
      </c>
      <c r="C182" t="str">
        <v>מחוזית</v>
      </c>
      <c r="D182" t="str">
        <v>חבל אשר,מטה אשר</v>
      </c>
      <c r="E182" t="str">
        <v>במילוי תנאים להפקדה</v>
      </c>
      <c r="F182" t="str">
        <v>כן</v>
      </c>
      <c r="G182" t="str">
        <v>כן</v>
      </c>
      <c r="H182" t="str">
        <v>כן</v>
      </c>
      <c r="I182">
        <f>=HYPERLINK("https://mavat.iplan.gov.il/SV4/1/2005470192/310")</f>
      </c>
    </row>
    <row r="183">
      <c r="A183" t="str">
        <v>204-0965236</v>
      </c>
      <c r="B183" t="str">
        <v>מתקן אגרוולטאי בית-אלפא</v>
      </c>
      <c r="C183" t="str">
        <v>מחוזית</v>
      </c>
      <c r="D183" t="str">
        <v>בית אלפא,הגילבוע,הגלבוע</v>
      </c>
      <c r="E183" t="str">
        <v>במילוי תנאים להפקדה</v>
      </c>
      <c r="F183" t="str">
        <v>כן</v>
      </c>
      <c r="G183" t="str">
        <v>כן</v>
      </c>
      <c r="H183" t="str">
        <v>כן</v>
      </c>
      <c r="I183">
        <f>=HYPERLINK("https://mavat.iplan.gov.il/SV4/1/2005133410/310")</f>
      </c>
    </row>
    <row r="184">
      <c r="A184" t="str">
        <v>219-1440718</v>
      </c>
      <c r="B184" t="str">
        <v>מתקן אגירה הגולן - קיבוץ עין זיון (תוואי)</v>
      </c>
      <c r="C184" t="str">
        <v>מחוזית</v>
      </c>
      <c r="D184" t="str">
        <v>גולן,עין זיון</v>
      </c>
      <c r="E184" t="str">
        <v>במילוי תנאים להפקדה</v>
      </c>
      <c r="F184" t="str">
        <v>כן</v>
      </c>
      <c r="G184" t="str">
        <v>כן</v>
      </c>
      <c r="H184" t="str">
        <v>כן</v>
      </c>
      <c r="I184">
        <f>=HYPERLINK("https://mavat.iplan.gov.il/SV4/1/2005445206/310")</f>
      </c>
    </row>
    <row r="185">
      <c r="A185" t="str">
        <v>354-1413301</v>
      </c>
      <c r="B185" t="str">
        <v>תכנית הרחבת מתחם 3 - שכונה צפונית כולל איחוד וחלוקה - עין אלסהלה</v>
      </c>
      <c r="C185" t="str">
        <v>מחוזית</v>
      </c>
      <c r="D185" t="str">
        <v>בסמ"ה,עירון</v>
      </c>
      <c r="E185" t="str">
        <v>במילוי תנאים להפקדה</v>
      </c>
      <c r="F185" t="str">
        <v>כן</v>
      </c>
      <c r="G185" t="str">
        <v>כן</v>
      </c>
      <c r="H185" t="str">
        <v>כן</v>
      </c>
      <c r="I185">
        <f>=HYPERLINK("https://mavat.iplan.gov.il/SV4/1/3005428818/310")</f>
      </c>
    </row>
    <row r="186">
      <c r="A186" t="str">
        <v>405-1186790</v>
      </c>
      <c r="B186" t="str">
        <v>הסדרת בית העלמין המזרחי - בכפר סבא</v>
      </c>
      <c r="C186" t="str">
        <v>מחוזית</v>
      </c>
      <c r="D186" t="str">
        <v>כפר סבא</v>
      </c>
      <c r="E186" t="str">
        <v>במילוי תנאים להפקדה</v>
      </c>
      <c r="F186" t="str">
        <v>כן</v>
      </c>
      <c r="G186" t="str">
        <v>כן</v>
      </c>
      <c r="H186" t="str">
        <v>כן</v>
      </c>
      <c r="I186">
        <f>=HYPERLINK("https://mavat.iplan.gov.il/SV4/1/4005285108/310")</f>
      </c>
    </row>
    <row r="187">
      <c r="A187" t="str">
        <v>412-1194745</v>
      </c>
      <c r="B187" t="str">
        <v>לב השרון - חד עד, הסדרת החלקה והרחבת החווה</v>
      </c>
      <c r="C187" t="str">
        <v>מחוזית</v>
      </c>
      <c r="D187" t="str">
        <v>בני דרור,לב השרון</v>
      </c>
      <c r="E187" t="str">
        <v>במילוי תנאים להפקדה</v>
      </c>
      <c r="F187" t="str">
        <v>כן</v>
      </c>
      <c r="G187" t="str">
        <v>כן</v>
      </c>
      <c r="H187" t="str">
        <v>כן</v>
      </c>
      <c r="I187">
        <f>=HYPERLINK("https://mavat.iplan.gov.il/SV4/1/4005289714/310")</f>
      </c>
    </row>
    <row r="188">
      <c r="A188" t="str">
        <v>414-1347749</v>
      </c>
      <c r="B188" t="str">
        <v>רח/6/7/106 - מתחם גן המדע ומתחם שטח ספורט מיוחד - מכון ויצמן</v>
      </c>
      <c r="C188" t="str">
        <v>מחוזית</v>
      </c>
      <c r="D188" t="str">
        <v>רחובות</v>
      </c>
      <c r="E188" t="str">
        <v>במילוי תנאים להפקדה</v>
      </c>
      <c r="F188" t="str">
        <v>כן</v>
      </c>
      <c r="G188" t="str">
        <v>כן</v>
      </c>
      <c r="H188" t="str">
        <v>כן</v>
      </c>
      <c r="I188">
        <f>=HYPERLINK("https://mavat.iplan.gov.il/SV4/1/4005387956/310")</f>
      </c>
    </row>
    <row r="189">
      <c r="A189" t="str">
        <v>101-1152743</v>
      </c>
      <c r="B189" t="str">
        <v>התחדשות עירונית ברחוב זאב חקלאי 2, ירושלים.</v>
      </c>
      <c r="C189" t="str">
        <v>מחוזית</v>
      </c>
      <c r="D189" t="str">
        <v>ירושלים</v>
      </c>
      <c r="E189" t="str">
        <v>במילוי תנאים להפקדה</v>
      </c>
      <c r="F189" t="str">
        <v>כן</v>
      </c>
      <c r="G189" t="str">
        <v>כן</v>
      </c>
      <c r="H189" t="str">
        <v>כן</v>
      </c>
      <c r="I189">
        <f>=HYPERLINK("https://mavat.iplan.gov.il/SV4/1/1005264302/310")</f>
      </c>
    </row>
    <row r="190">
      <c r="A190" t="str">
        <v>603-0718809</v>
      </c>
      <c r="B190" t="str">
        <v>מתחם קניון "סי-מול"/ככר עירונית-מע"ר צפון</v>
      </c>
      <c r="C190" t="str">
        <v>מחוזית</v>
      </c>
      <c r="D190" t="str">
        <v>אשדוד</v>
      </c>
      <c r="E190" t="str">
        <v>במילוי תנאים להפקדה</v>
      </c>
      <c r="F190" t="str">
        <v>כן</v>
      </c>
      <c r="G190" t="str">
        <v>כן</v>
      </c>
      <c r="H190" t="str">
        <v>כן</v>
      </c>
      <c r="I190">
        <f>=HYPERLINK("https://mavat.iplan.gov.il/SV4/1/6000984009/310")</f>
      </c>
    </row>
    <row r="191">
      <c r="A191" t="str">
        <v>620-1098193</v>
      </c>
      <c r="B191" t="str">
        <v>הרחבת ישוב רתמים</v>
      </c>
      <c r="C191" t="str">
        <v>מחוזית</v>
      </c>
      <c r="D191" t="str">
        <v>רמת נגב,רתמים</v>
      </c>
      <c r="E191" t="str">
        <v>במילוי תנאים להפקדה</v>
      </c>
      <c r="F191" t="str">
        <v>כן</v>
      </c>
      <c r="G191" t="str">
        <v>כן</v>
      </c>
      <c r="H191" t="str">
        <v>כן</v>
      </c>
      <c r="I191">
        <f>=HYPERLINK("https://mavat.iplan.gov.il/SV4/1/6005230626/310")</f>
      </c>
    </row>
    <row r="192">
      <c r="A192" t="str">
        <v>219-0742569</v>
      </c>
      <c r="B192" t="str">
        <v>מפטמה ומכלאת בקר מזרחית לכנף - ג/27744</v>
      </c>
      <c r="C192" t="str">
        <v>מחוזית</v>
      </c>
      <c r="D192" t="str">
        <v>גולן</v>
      </c>
      <c r="E192" t="str">
        <v>במילוי תנאים להפקדה</v>
      </c>
      <c r="F192" t="str">
        <v>כן</v>
      </c>
      <c r="G192" t="str">
        <v>כן</v>
      </c>
      <c r="H192" t="str">
        <v>כן</v>
      </c>
      <c r="I192">
        <f>=HYPERLINK("https://mavat.iplan.gov.il/SV4/1/2000999079/310")</f>
      </c>
    </row>
    <row r="193">
      <c r="A193" t="str">
        <v>205-1057314</v>
      </c>
      <c r="B193" t="str">
        <v>ראס אל עין - איחוד וחלוקה</v>
      </c>
      <c r="C193" t="str">
        <v>מחוזית</v>
      </c>
      <c r="D193" t="str">
        <v>משגב,ראס אל-עין</v>
      </c>
      <c r="E193" t="str">
        <v>במילוי תנאים להפקדה</v>
      </c>
      <c r="F193" t="str">
        <v>כן</v>
      </c>
      <c r="G193" t="str">
        <v>כן</v>
      </c>
      <c r="H193" t="str">
        <v>כן</v>
      </c>
      <c r="I193">
        <f>=HYPERLINK("https://mavat.iplan.gov.il/SV4/1/2005205706/310")</f>
      </c>
    </row>
    <row r="194">
      <c r="A194" t="str">
        <v>214-1401215</v>
      </c>
      <c r="B194" t="str">
        <v>ג/29210, מושב אלמגור - יחידת דיור שלישית בנחלות</v>
      </c>
      <c r="C194" t="str">
        <v>מחוזית</v>
      </c>
      <c r="D194" t="str">
        <v>אלמגור,עמק הירדן</v>
      </c>
      <c r="E194" t="str">
        <v>במילוי תנאים להפקדה</v>
      </c>
      <c r="F194" t="str">
        <v>כן</v>
      </c>
      <c r="G194" t="str">
        <v>כן</v>
      </c>
      <c r="H194" t="str">
        <v>כן</v>
      </c>
      <c r="I194">
        <f>=HYPERLINK("https://mavat.iplan.gov.il/SV4/1/2005421312/310")</f>
      </c>
    </row>
    <row r="195">
      <c r="A195" t="str">
        <v>257-1196476</v>
      </c>
      <c r="B195" t="str">
        <v>מתחם B3 - ריינה</v>
      </c>
      <c r="C195" t="str">
        <v>מחוזית</v>
      </c>
      <c r="D195" t="str">
        <v>מבוא העמקים,ריינה</v>
      </c>
      <c r="E195" t="str">
        <v>במילוי תנאים להפקדה</v>
      </c>
      <c r="F195" t="str">
        <v>כן</v>
      </c>
      <c r="G195" t="str">
        <v>כן</v>
      </c>
      <c r="H195" t="str">
        <v>כן</v>
      </c>
      <c r="I195">
        <f>=HYPERLINK("https://mavat.iplan.gov.il/SV4/1/2005290608/310")</f>
      </c>
    </row>
    <row r="196">
      <c r="A196" t="str">
        <v>302-1276534</v>
      </c>
      <c r="B196" t="str">
        <v>חדרה - שער העיר מרכז</v>
      </c>
      <c r="C196" t="str">
        <v>מחוזית</v>
      </c>
      <c r="D196" t="str">
        <v>חדרה</v>
      </c>
      <c r="E196" t="str">
        <v>במילוי תנאים להפקדה</v>
      </c>
      <c r="F196" t="str">
        <v>כן</v>
      </c>
      <c r="G196" t="str">
        <v>כן</v>
      </c>
      <c r="H196" t="str">
        <v>כן</v>
      </c>
      <c r="I196">
        <f>=HYPERLINK("https://mavat.iplan.gov.il/SV4/1/3005342434/310")</f>
      </c>
    </row>
    <row r="197">
      <c r="A197" t="str">
        <v>625-1333095</v>
      </c>
      <c r="B197" t="str">
        <v>תחנת שאיבה דרומית ורצועת תשתיות תת"ק, למט"ש באר שבע</v>
      </c>
      <c r="C197" t="str">
        <v>מחוזית</v>
      </c>
      <c r="D197" t="str">
        <v>באר שבע,בני שמעון,מרחבים,נגב מערבי</v>
      </c>
      <c r="E197" t="str">
        <v>במילוי תנאים להפקדה</v>
      </c>
      <c r="F197" t="str">
        <v>כן</v>
      </c>
      <c r="G197" t="str">
        <v>כן</v>
      </c>
      <c r="H197" t="str">
        <v>כן</v>
      </c>
      <c r="I197">
        <f>=HYPERLINK("https://mavat.iplan.gov.il/SV4/1/6005379474/310")</f>
      </c>
    </row>
    <row r="198">
      <c r="A198" t="str">
        <v>651-1011139</v>
      </c>
      <c r="B198" t="str">
        <v>הרחבת מושב זמרת</v>
      </c>
      <c r="C198" t="str">
        <v>מחוזית</v>
      </c>
      <c r="D198" t="str">
        <v>זמרת,נגב מערבי,שדות נגב</v>
      </c>
      <c r="E198" t="str">
        <v>במילוי תנאים להפקדה</v>
      </c>
      <c r="F198" t="str">
        <v>כן</v>
      </c>
      <c r="G198" t="str">
        <v>כן</v>
      </c>
      <c r="H198" t="str">
        <v>כן</v>
      </c>
      <c r="I198">
        <f>=HYPERLINK("https://mavat.iplan.gov.il/SV4/1/6005161672/310")</f>
      </c>
    </row>
    <row r="199">
      <c r="A199" t="str">
        <v>651-1254358</v>
      </c>
      <c r="B199" t="str">
        <v>קיבוץ דורות</v>
      </c>
      <c r="C199" t="str">
        <v>מחוזית</v>
      </c>
      <c r="D199" t="str">
        <v>דורות,נגב מערבי,שער הנגב</v>
      </c>
      <c r="E199" t="str">
        <v>במילוי תנאים להפקדה</v>
      </c>
      <c r="F199" t="str">
        <v>כן</v>
      </c>
      <c r="G199" t="str">
        <v>כן</v>
      </c>
      <c r="H199" t="str">
        <v>כן</v>
      </c>
      <c r="I199">
        <f>=HYPERLINK("https://mavat.iplan.gov.il/SV4/1/6005329080/310")</f>
      </c>
    </row>
    <row r="200">
      <c r="A200" t="str">
        <v>651-1428317</v>
      </c>
      <c r="B200" t="str">
        <v>מו"פ דרום - חוות הבשור</v>
      </c>
      <c r="C200" t="str">
        <v>מחוזית</v>
      </c>
      <c r="D200" t="str">
        <v>אשכול,נגב מערבי</v>
      </c>
      <c r="E200" t="str">
        <v>במילוי תנאים להפקדה</v>
      </c>
      <c r="F200" t="str">
        <v>כן</v>
      </c>
      <c r="G200" t="str">
        <v>כן</v>
      </c>
      <c r="H200" t="str">
        <v>כן</v>
      </c>
      <c r="I200">
        <f>=HYPERLINK("https://mavat.iplan.gov.il/SV4/1/6005437282/310")</f>
      </c>
    </row>
    <row r="201">
      <c r="A201" t="str">
        <v>404-1153113</v>
      </c>
      <c r="B201" t="str">
        <v>מתחם הגלבוע - יבנה</v>
      </c>
      <c r="C201" t="str">
        <v>מחוזית</v>
      </c>
      <c r="D201" t="str">
        <v>יבנה</v>
      </c>
      <c r="E201" t="str">
        <v>במילוי תנאים להפקדה</v>
      </c>
      <c r="F201" t="str">
        <v>כן</v>
      </c>
      <c r="G201" t="str">
        <v>כן</v>
      </c>
      <c r="H201" t="str">
        <v>כן</v>
      </c>
      <c r="I201">
        <f>=HYPERLINK("https://mavat.iplan.gov.il/SV4/1/4005264602/310")</f>
      </c>
    </row>
    <row r="202">
      <c r="A202" t="str">
        <v>208-1329887</v>
      </c>
      <c r="B202" t="str">
        <v>דירה להשכיר - כרמיאל בראודה</v>
      </c>
      <c r="C202" t="str">
        <v>מחוזית</v>
      </c>
      <c r="D202" t="str">
        <v>כרמיאל</v>
      </c>
      <c r="E202" t="str">
        <v>במילוי תנאים להפקדה</v>
      </c>
      <c r="F202" t="str">
        <v>כן</v>
      </c>
      <c r="G202" t="str">
        <v>כן</v>
      </c>
      <c r="H202" t="str">
        <v>כן</v>
      </c>
      <c r="I202">
        <f>=HYPERLINK("https://mavat.iplan.gov.il/SV4/1/2005377646/310")</f>
      </c>
    </row>
    <row r="203">
      <c r="A203" t="str">
        <v>253-0609172</v>
      </c>
      <c r="B203" t="str">
        <v>מתחם המנפטה - לב החולה - ג/26585</v>
      </c>
      <c r="C203" t="str">
        <v>מחוזית</v>
      </c>
      <c r="D203" t="str">
        <v>הגליל העליון</v>
      </c>
      <c r="E203" t="str">
        <v>במילוי תנאים להפקדה</v>
      </c>
      <c r="F203" t="str">
        <v>כן</v>
      </c>
      <c r="G203" t="str">
        <v>כן</v>
      </c>
      <c r="H203" t="str">
        <v>כן</v>
      </c>
      <c r="I203">
        <f>=HYPERLINK("https://mavat.iplan.gov.il/SV4/1/2000919397/310")</f>
      </c>
    </row>
    <row r="204">
      <c r="A204" t="str">
        <v>211-1367929</v>
      </c>
      <c r="B204" t="str">
        <v>שינוי ייעודי קרקע למתחם ספורט ונופש וקביעת זכויות בנייה, נצרת</v>
      </c>
      <c r="C204" t="str">
        <v>מחוזית</v>
      </c>
      <c r="D204" t="str">
        <v>נצרת</v>
      </c>
      <c r="E204" t="str">
        <v>במילוי תנאים להפקדה</v>
      </c>
      <c r="F204" t="str">
        <v>כן</v>
      </c>
      <c r="G204" t="str">
        <v>כן</v>
      </c>
      <c r="H204" t="str">
        <v>כן</v>
      </c>
      <c r="I204">
        <f>=HYPERLINK("https://mavat.iplan.gov.il/SV4/1/2005400938/310")</f>
      </c>
    </row>
    <row r="205">
      <c r="A205" t="str">
        <v>303-1378785</v>
      </c>
      <c r="B205" t="str">
        <v>מתקן אגרו וולטאי ניר עציון</v>
      </c>
      <c r="C205" t="str">
        <v>מחוזית</v>
      </c>
      <c r="D205" t="str">
        <v>חוף הכרמל,ניר עציון</v>
      </c>
      <c r="E205" t="str">
        <v>במילוי תנאים להפקדה</v>
      </c>
      <c r="F205" t="str">
        <v>כן</v>
      </c>
      <c r="G205" t="str">
        <v>כן</v>
      </c>
      <c r="H205" t="str">
        <v>כן</v>
      </c>
      <c r="I205">
        <f>=HYPERLINK("https://mavat.iplan.gov.il/SV4/1/3005408036/310")</f>
      </c>
    </row>
    <row r="206">
      <c r="A206" t="str">
        <v>414-1156082</v>
      </c>
      <c r="B206" t="str">
        <v>רח/2110/ג מתחם הורוביץ</v>
      </c>
      <c r="C206" t="str">
        <v>מחוזית</v>
      </c>
      <c r="D206" t="str">
        <v>רחובות</v>
      </c>
      <c r="E206" t="str">
        <v>במילוי תנאים להפקדה</v>
      </c>
      <c r="F206" t="str">
        <v>כן</v>
      </c>
      <c r="G206" t="str">
        <v>כן</v>
      </c>
      <c r="H206" t="str">
        <v>כן</v>
      </c>
      <c r="I206">
        <f>=HYPERLINK("https://mavat.iplan.gov.il/SV4/1/4005266430/310")</f>
      </c>
    </row>
    <row r="207">
      <c r="A207" t="str">
        <v>417-0781617</v>
      </c>
      <c r="B207" t="str">
        <v>תכנית מתאר כפר מעש -שד/100/1060</v>
      </c>
      <c r="C207" t="str">
        <v>מחוזית</v>
      </c>
      <c r="D207" t="str">
        <v>דרום השרון,מע"ש</v>
      </c>
      <c r="E207" t="str">
        <v>במילוי תנאים להפקדה</v>
      </c>
      <c r="F207" t="str">
        <v>כן</v>
      </c>
      <c r="G207" t="str">
        <v>כן</v>
      </c>
      <c r="H207" t="str">
        <v>כן</v>
      </c>
      <c r="I207">
        <f>=HYPERLINK("https://mavat.iplan.gov.il/SV4/1/4001024243/310")</f>
      </c>
    </row>
    <row r="208">
      <c r="A208" t="str">
        <v>426-0667352</v>
      </c>
      <c r="B208" t="str">
        <v>מושב ישרש תכנית מפורטת גז/33/19</v>
      </c>
      <c r="C208" t="str">
        <v>מחוזית</v>
      </c>
      <c r="D208" t="str">
        <v>גזר,ישרש</v>
      </c>
      <c r="E208" t="str">
        <v>במילוי תנאים להפקדה</v>
      </c>
      <c r="F208" t="str">
        <v>כן</v>
      </c>
      <c r="G208" t="str">
        <v>כן</v>
      </c>
      <c r="H208" t="str">
        <v>כן</v>
      </c>
      <c r="I208">
        <f>=HYPERLINK("https://mavat.iplan.gov.il/SV4/1/4000953121/310")</f>
      </c>
    </row>
    <row r="209">
      <c r="A209" t="str">
        <v>426-1179381</v>
      </c>
      <c r="B209" t="str">
        <v>תוכנית מתאר מושב רמות מאיר</v>
      </c>
      <c r="C209" t="str">
        <v>מחוזית</v>
      </c>
      <c r="D209" t="str">
        <v>גזר,רמות מאיר</v>
      </c>
      <c r="E209" t="str">
        <v>במילוי תנאים להפקדה</v>
      </c>
      <c r="F209" t="str">
        <v>כן</v>
      </c>
      <c r="G209" t="str">
        <v>כן</v>
      </c>
      <c r="H209" t="str">
        <v>כן</v>
      </c>
      <c r="I209">
        <f>=HYPERLINK("https://mavat.iplan.gov.il/SV4/1/4005280490/310")</f>
      </c>
    </row>
    <row r="210">
      <c r="A210" t="str">
        <v>224-1486588</v>
      </c>
      <c r="B210" t="str">
        <v>הגדלת מאגר מיצר</v>
      </c>
      <c r="C210" t="str">
        <v>מקומית</v>
      </c>
      <c r="D210" t="str">
        <v>מרחב הגולן</v>
      </c>
      <c r="E210" t="str">
        <v>במילוי תנאים להפקדה</v>
      </c>
      <c r="F210" t="str">
        <v>כן</v>
      </c>
      <c r="G210" t="str">
        <v>כן</v>
      </c>
      <c r="H210" t="str">
        <v>כן</v>
      </c>
      <c r="I210">
        <f>=HYPERLINK("https://mavat.iplan.gov.il/SV4/1/2005473034/310")</f>
      </c>
    </row>
    <row r="211">
      <c r="A211" t="str">
        <v>253-1331818</v>
      </c>
      <c r="B211" t="str">
        <v>מתקן אגרו-וולטאי קיבוץ מעיין ברוך</v>
      </c>
      <c r="C211" t="str">
        <v>מחוזית</v>
      </c>
      <c r="D211" t="str">
        <v>הגליל העליון,מעין ברוך</v>
      </c>
      <c r="E211" t="str">
        <v>במילוי תנאים להפקדה</v>
      </c>
      <c r="F211" t="str">
        <v>כן</v>
      </c>
      <c r="G211" t="str">
        <v>כן</v>
      </c>
      <c r="H211" t="str">
        <v>כן</v>
      </c>
      <c r="I211">
        <f>=HYPERLINK("https://mavat.iplan.gov.il/SV4/1/2005378852/310")</f>
      </c>
    </row>
    <row r="212">
      <c r="A212" t="str">
        <v>302-1306018</v>
      </c>
      <c r="B212" t="str">
        <v>חדרה מתחם 13</v>
      </c>
      <c r="C212" t="str">
        <v>מחוזית</v>
      </c>
      <c r="D212" t="str">
        <v>חדרה</v>
      </c>
      <c r="E212" t="str">
        <v>במילוי תנאים להפקדה</v>
      </c>
      <c r="F212" t="str">
        <v>כן</v>
      </c>
      <c r="G212" t="str">
        <v>כן</v>
      </c>
      <c r="H212" t="str">
        <v>כן</v>
      </c>
      <c r="I212">
        <f>=HYPERLINK("https://mavat.iplan.gov.il/SV4/1/3005361928/310")</f>
      </c>
    </row>
    <row r="213">
      <c r="A213" t="str">
        <v>633-1389535</v>
      </c>
      <c r="B213" t="str">
        <v>מתקן פוטו וולטאי יד מרדכי</v>
      </c>
      <c r="C213" t="str">
        <v>מחוזית</v>
      </c>
      <c r="D213" t="str">
        <v>חוף אשקלון</v>
      </c>
      <c r="E213" t="str">
        <v>במילוי תנאים להפקדה</v>
      </c>
      <c r="F213" t="str">
        <v>כן</v>
      </c>
      <c r="G213" t="str">
        <v>כן</v>
      </c>
      <c r="H213" t="str">
        <v>כן</v>
      </c>
      <c r="I213">
        <f>=HYPERLINK("https://mavat.iplan.gov.il/SV4/1/6005414168/310")</f>
      </c>
    </row>
    <row r="214">
      <c r="A214" t="str">
        <v>633-1390285</v>
      </c>
      <c r="B214" t="str">
        <v>מתקן פוטו וולטאי בקיבוץ כרמיה</v>
      </c>
      <c r="C214" t="str">
        <v>מחוזית</v>
      </c>
      <c r="D214" t="str">
        <v>חוף אשקלון,כרמיה</v>
      </c>
      <c r="E214" t="str">
        <v>במילוי תנאים להפקדה</v>
      </c>
      <c r="F214" t="str">
        <v>כן</v>
      </c>
      <c r="G214" t="str">
        <v>כן</v>
      </c>
      <c r="H214" t="str">
        <v>כן</v>
      </c>
      <c r="I214">
        <f>=HYPERLINK("https://mavat.iplan.gov.il/SV4/1/6005414602/310")</f>
      </c>
    </row>
    <row r="215">
      <c r="A215" t="str">
        <v>634-1329945</v>
      </c>
      <c r="B215" t="str">
        <v>מתקן אגרו וולטאי במושב שדה דוד</v>
      </c>
      <c r="C215" t="str">
        <v>מחוזית</v>
      </c>
      <c r="D215" t="str">
        <v>לכיש,שדה דוד</v>
      </c>
      <c r="E215" t="str">
        <v>במילוי תנאים להפקדה</v>
      </c>
      <c r="F215" t="str">
        <v>כן</v>
      </c>
      <c r="G215" t="str">
        <v>כן</v>
      </c>
      <c r="H215" t="str">
        <v>כן</v>
      </c>
      <c r="I215">
        <f>=HYPERLINK("https://mavat.iplan.gov.il/SV4/1/6005377676/310")</f>
      </c>
    </row>
    <row r="216">
      <c r="A216" t="str">
        <v>651-1346097</v>
      </c>
      <c r="B216" t="str">
        <v>מתקן פוטו וולטאי ניר עם - חלופי</v>
      </c>
      <c r="C216" t="str">
        <v>מחוזית</v>
      </c>
      <c r="D216" t="str">
        <v>נגב מערבי,ניר עם,שער הנגב</v>
      </c>
      <c r="E216" t="str">
        <v>במילוי תנאים להפקדה</v>
      </c>
      <c r="F216" t="str">
        <v>כן</v>
      </c>
      <c r="G216" t="str">
        <v>כן</v>
      </c>
      <c r="H216" t="str">
        <v>כן</v>
      </c>
      <c r="I216">
        <f>=HYPERLINK("https://mavat.iplan.gov.il/SV4/1/6005386816/310")</f>
      </c>
    </row>
    <row r="217">
      <c r="A217" t="str">
        <v>201-1399989</v>
      </c>
      <c r="B217" t="str">
        <v>מושב בצת - יח"ד שלישית בנחלה</v>
      </c>
      <c r="C217" t="str">
        <v>מחוזית</v>
      </c>
      <c r="D217" t="str">
        <v>חבל אשר,מטה אשר</v>
      </c>
      <c r="E217" t="str">
        <v>במילוי תנאים להפקדה</v>
      </c>
      <c r="F217" t="str">
        <v>כן</v>
      </c>
      <c r="G217" t="str">
        <v>כן</v>
      </c>
      <c r="H217" t="str">
        <v>כן</v>
      </c>
      <c r="I217">
        <f>=HYPERLINK("https://mavat.iplan.gov.il/SV4/1/2005420638/310")</f>
      </c>
    </row>
    <row r="218">
      <c r="A218" t="str">
        <v>412-1221019</v>
      </c>
      <c r="B218" t="str">
        <v>תנובות - שינוי יעוד</v>
      </c>
      <c r="C218" t="str">
        <v>מחוזית</v>
      </c>
      <c r="D218" t="str">
        <v>לב השרון,תנובות</v>
      </c>
      <c r="E218" t="str">
        <v>במילוי תנאים להפקדה</v>
      </c>
      <c r="F218" t="str">
        <v>כן</v>
      </c>
      <c r="G218" t="str">
        <v>כן</v>
      </c>
      <c r="H218" t="str">
        <v>כן</v>
      </c>
      <c r="I218">
        <f>=HYPERLINK("https://mavat.iplan.gov.il/SV4/1/4005308088/310")</f>
      </c>
    </row>
    <row r="219">
      <c r="A219" t="str">
        <v>456-1020403</v>
      </c>
      <c r="B219" t="str">
        <v>בר/17/158 הפרדת מגרש מנחלה - שדמה מגרש 2</v>
      </c>
      <c r="C219" t="str">
        <v>מחוזית</v>
      </c>
      <c r="D219" t="str">
        <v>גדרות,שדמה,שורקות</v>
      </c>
      <c r="E219" t="str">
        <v>במילוי תנאים להפקדה</v>
      </c>
      <c r="F219" t="str">
        <v>כן</v>
      </c>
      <c r="G219" t="str">
        <v>כן</v>
      </c>
      <c r="H219" t="str">
        <v>כן</v>
      </c>
      <c r="I219">
        <f>=HYPERLINK("https://mavat.iplan.gov.il/SV4/1/4005183942/310")</f>
      </c>
    </row>
    <row r="220">
      <c r="A220" t="str">
        <v>455-1007889</v>
      </c>
      <c r="B220" t="str">
        <v>באר יעקב מתחם 7.2</v>
      </c>
      <c r="C220" t="str">
        <v>מחוזית</v>
      </c>
      <c r="D220" t="str">
        <v>באר יעקב,מצפה אפק</v>
      </c>
      <c r="E220" t="str">
        <v>במילוי תנאים להפקדה</v>
      </c>
      <c r="F220" t="str">
        <v>כן</v>
      </c>
      <c r="G220" t="str">
        <v>כן</v>
      </c>
      <c r="H220" t="str">
        <v>כן</v>
      </c>
      <c r="I220">
        <f>=HYPERLINK("https://mavat.iplan.gov.il/SV4/1/4005159616/310")</f>
      </c>
    </row>
    <row r="221">
      <c r="A221" t="str">
        <v>224-1426139</v>
      </c>
      <c r="B221" t="str">
        <v>מתקן אגירה הגולן - קיבוץ עין זיון</v>
      </c>
      <c r="C221" t="str">
        <v>מחוזית</v>
      </c>
      <c r="D221" t="str">
        <v>מרחב הגולן</v>
      </c>
      <c r="E221" t="str">
        <v>במילוי תנאים להפקדה</v>
      </c>
      <c r="F221" t="str">
        <v>כן</v>
      </c>
      <c r="G221" t="str">
        <v>כן</v>
      </c>
      <c r="H221" t="str">
        <v>כן</v>
      </c>
      <c r="I221">
        <f>=HYPERLINK("https://mavat.iplan.gov.il/SV4/1/2005436032/310")</f>
      </c>
    </row>
    <row r="222">
      <c r="A222" t="str">
        <v>207-1297878</v>
      </c>
      <c r="B222" t="str">
        <v>התחדשות מתחם בן צבי- טבריה</v>
      </c>
      <c r="C222" t="str">
        <v>מחוזית</v>
      </c>
      <c r="D222" t="str">
        <v>טבריה</v>
      </c>
      <c r="E222" t="str">
        <v>במילוי תנאים להפקדה</v>
      </c>
      <c r="F222" t="str">
        <v>כן</v>
      </c>
      <c r="G222" t="str">
        <v>כן</v>
      </c>
      <c r="H222" t="str">
        <v>כן</v>
      </c>
      <c r="I222">
        <f>=HYPERLINK("https://mavat.iplan.gov.il/SV4/1/2005356912/310")</f>
      </c>
    </row>
    <row r="223">
      <c r="A223" t="str">
        <v>208-1359066</v>
      </c>
      <c r="B223" t="str">
        <v>כרמיאל - מתחם הדקל</v>
      </c>
      <c r="C223" t="str">
        <v>מחוזית</v>
      </c>
      <c r="D223" t="str">
        <v>כרמיאל</v>
      </c>
      <c r="E223" t="str">
        <v>במילוי תנאים להפקדה</v>
      </c>
      <c r="F223" t="str">
        <v>כן</v>
      </c>
      <c r="G223" t="str">
        <v>כן</v>
      </c>
      <c r="H223" t="str">
        <v>כן</v>
      </c>
      <c r="I223">
        <f>=HYPERLINK("https://mavat.iplan.gov.il/SV4/1/2005395640/310")</f>
      </c>
    </row>
    <row r="224">
      <c r="A224" t="str">
        <v>251-0770479</v>
      </c>
      <c r="B224" t="str">
        <v>תכנית מתאר מקומית כוללנית עילבון</v>
      </c>
      <c r="C224" t="str">
        <v>מחוזית</v>
      </c>
      <c r="D224" t="str">
        <v>גלילית מחוז צפון,הגליל המזרחי,הגליל התחתון,משגב,עילבון,שטח גלילי- מחוז צפון</v>
      </c>
      <c r="E224" t="str">
        <v>במילוי תנאים להפקדה</v>
      </c>
      <c r="F224" t="str">
        <v>כן</v>
      </c>
      <c r="G224" t="str">
        <v>כן</v>
      </c>
      <c r="H224" t="str">
        <v>כן</v>
      </c>
      <c r="I224">
        <f>=HYPERLINK("https://mavat.iplan.gov.il/SV4/1/2001016887/310")</f>
      </c>
    </row>
    <row r="225">
      <c r="A225" t="str">
        <v>409-1231745</v>
      </c>
      <c r="B225" t="str">
        <v>עח/11/25, בארותיים, הירש, הפרדת מגרש מנחלה ותוספת יח"ד</v>
      </c>
      <c r="C225" t="str">
        <v>מחוזית</v>
      </c>
      <c r="D225" t="str">
        <v>בארותים,עמק חפר</v>
      </c>
      <c r="E225" t="str">
        <v>במילוי תנאים להפקדה</v>
      </c>
      <c r="F225" t="str">
        <v>כן</v>
      </c>
      <c r="G225" t="str">
        <v>כן</v>
      </c>
      <c r="H225" t="str">
        <v>כן</v>
      </c>
      <c r="I225">
        <f>=HYPERLINK("https://mavat.iplan.gov.il/SV4/1/4005314976/310")</f>
      </c>
    </row>
    <row r="226">
      <c r="A226" t="str">
        <v>613-0269241</v>
      </c>
      <c r="B226" t="str">
        <v>חוות חקלאיות תיירותיות בדרך היין - חווה מס' 14</v>
      </c>
      <c r="C226" t="str">
        <v>מחוזית</v>
      </c>
      <c r="D226" t="str">
        <v>מצפה רמון,רמת נגב</v>
      </c>
      <c r="E226" t="str">
        <v>במילוי תנאים להפקדה</v>
      </c>
      <c r="F226" t="str">
        <v>כן</v>
      </c>
      <c r="G226" t="str">
        <v>כן</v>
      </c>
      <c r="H226" t="str">
        <v>כן</v>
      </c>
      <c r="I226">
        <f>=HYPERLINK("https://mavat.iplan.gov.il/SV4/1/6000336389/310")</f>
      </c>
    </row>
    <row r="227">
      <c r="A227" t="str">
        <v>613-0271544</v>
      </c>
      <c r="B227" t="str">
        <v>חוות חקלאיות תיירותיות בדרך היין- חוות מס' 29-30</v>
      </c>
      <c r="C227" t="str">
        <v>מחוזית</v>
      </c>
      <c r="D227" t="str">
        <v>מצפה רמון</v>
      </c>
      <c r="E227" t="str">
        <v>במילוי תנאים להפקדה</v>
      </c>
      <c r="F227" t="str">
        <v>כן</v>
      </c>
      <c r="G227" t="str">
        <v>כן</v>
      </c>
      <c r="H227" t="str">
        <v>כן</v>
      </c>
      <c r="I227">
        <f>=HYPERLINK("https://mavat.iplan.gov.il/SV4/1/6000337419/310")</f>
      </c>
    </row>
    <row r="228">
      <c r="A228" t="str">
        <v>620-0617092</v>
      </c>
      <c r="B228" t="str">
        <v>חוות חקלאיות תיירותיות בדרך היין- חוות מס 24, 25 (8/310/02/20)</v>
      </c>
      <c r="C228" t="str">
        <v>מחוזית</v>
      </c>
      <c r="D228" t="str">
        <v>רמת נגב</v>
      </c>
      <c r="E228" t="str">
        <v>במילוי תנאים להפקדה</v>
      </c>
      <c r="F228" t="str">
        <v>כן</v>
      </c>
      <c r="G228" t="str">
        <v>כן</v>
      </c>
      <c r="H228" t="str">
        <v>כן</v>
      </c>
      <c r="I228">
        <f>=HYPERLINK("https://mavat.iplan.gov.il/SV4/1/6000923321/310")</f>
      </c>
    </row>
    <row r="229">
      <c r="A229" t="str">
        <v>620-0642033</v>
      </c>
      <c r="B229" t="str">
        <v>חוות חקלאיות תיירותיות בדרך היין - חווה מס' 9 (12/310/02/20)</v>
      </c>
      <c r="C229" t="str">
        <v>מחוזית</v>
      </c>
      <c r="D229" t="str">
        <v>רמת נגב</v>
      </c>
      <c r="E229" t="str">
        <v>במילוי תנאים להפקדה</v>
      </c>
      <c r="F229" t="str">
        <v>כן</v>
      </c>
      <c r="G229" t="str">
        <v>כן</v>
      </c>
      <c r="H229" t="str">
        <v>כן</v>
      </c>
      <c r="I229">
        <f>=HYPERLINK("https://mavat.iplan.gov.il/SV4/1/6000937191/310")</f>
      </c>
    </row>
    <row r="230">
      <c r="A230" t="str">
        <v>507-1315845</v>
      </c>
      <c r="B230" t="str">
        <v>תא/5227 ניבה - גת רימון - בית רומנו - מנחם בגין 64</v>
      </c>
      <c r="C230" t="str">
        <v>מחוזית</v>
      </c>
      <c r="D230" t="str">
        <v>תל אביב-יפו</v>
      </c>
      <c r="E230" t="str">
        <v>במילוי תנאים להפקדה</v>
      </c>
      <c r="F230" t="str">
        <v>כן</v>
      </c>
      <c r="G230" t="str">
        <v>כן</v>
      </c>
      <c r="H230" t="str">
        <v>כן</v>
      </c>
      <c r="I230">
        <f>=HYPERLINK("https://mavat.iplan.gov.il/SV4/1/5005368686/310")</f>
      </c>
    </row>
    <row r="231">
      <c r="A231" t="str">
        <v>555-1334192</v>
      </c>
      <c r="B231" t="str">
        <v>מאא/588 - טרמינל סנטר -מבנה אחסנה ולוגיסטיקה עירוני</v>
      </c>
      <c r="C231" t="str">
        <v>מחוזית</v>
      </c>
      <c r="D231" t="str">
        <v>אור יהודה</v>
      </c>
      <c r="E231" t="str">
        <v>במילוי תנאים להפקדה</v>
      </c>
      <c r="F231" t="str">
        <v>כן</v>
      </c>
      <c r="G231" t="str">
        <v>כן</v>
      </c>
      <c r="H231" t="str">
        <v>כן</v>
      </c>
      <c r="I231">
        <f>=HYPERLINK("https://mavat.iplan.gov.il/SV4/1/5005379888/310")</f>
      </c>
    </row>
    <row r="232">
      <c r="A232" t="str">
        <v>602-1411362</v>
      </c>
      <c r="B232" t="str">
        <v>סטאר ארי - התחנת המרכזית אילת</v>
      </c>
      <c r="C232" t="str">
        <v>מחוזית</v>
      </c>
      <c r="D232" t="str">
        <v>אילת</v>
      </c>
      <c r="E232" t="str">
        <v>במילוי תנאים להפקדה</v>
      </c>
      <c r="F232" t="str">
        <v>כן</v>
      </c>
      <c r="G232" t="str">
        <v>כן</v>
      </c>
      <c r="H232" t="str">
        <v>כן</v>
      </c>
      <c r="I232">
        <f>=HYPERLINK("https://mavat.iplan.gov.il/SV4/1/6005427630/310")</f>
      </c>
    </row>
    <row r="233">
      <c r="A233" t="str">
        <v>610-1361948</v>
      </c>
      <c r="B233" t="str">
        <v>שכונת ראשונים ערד</v>
      </c>
      <c r="C233" t="str">
        <v>מחוזית</v>
      </c>
      <c r="D233" t="str">
        <v>ערד</v>
      </c>
      <c r="E233" t="str">
        <v>במילוי תנאים להפקדה</v>
      </c>
      <c r="F233" t="str">
        <v>כן</v>
      </c>
      <c r="G233" t="str">
        <v>כן</v>
      </c>
      <c r="H233" t="str">
        <v>כן</v>
      </c>
      <c r="I233">
        <f>=HYPERLINK("https://mavat.iplan.gov.il/SV4/1/6005397342/310")</f>
      </c>
    </row>
    <row r="234">
      <c r="A234" t="str">
        <v>202-1414119</v>
      </c>
      <c r="B234" t="str">
        <v>מתקן אגרו-וולטאי קיבוץ שדה אליהו</v>
      </c>
      <c r="C234" t="str">
        <v>מחוזית</v>
      </c>
      <c r="D234" t="str">
        <v>עמק המעיינות,שדה אליהו</v>
      </c>
      <c r="E234" t="str">
        <v>במילוי תנאים להפקדה</v>
      </c>
      <c r="F234" t="str">
        <v>כן</v>
      </c>
      <c r="G234" t="str">
        <v>כן</v>
      </c>
      <c r="H234" t="str">
        <v>כן</v>
      </c>
      <c r="I234">
        <f>=HYPERLINK("https://mavat.iplan.gov.il/SV4/1/2005429330/310")</f>
      </c>
    </row>
    <row r="235">
      <c r="A235" t="str">
        <v>204-1264035</v>
      </c>
      <c r="B235" t="str">
        <v>ג/ 28847 מתחם ספורט אתגרי, תל יוסף הישנה</v>
      </c>
      <c r="C235" t="str">
        <v>מחוזית</v>
      </c>
      <c r="D235" t="str">
        <v>הגילבוע,הגלבוע</v>
      </c>
      <c r="E235" t="str">
        <v>במילוי תנאים להפקדה</v>
      </c>
      <c r="F235" t="str">
        <v>כן</v>
      </c>
      <c r="G235" t="str">
        <v>כן</v>
      </c>
      <c r="H235" t="str">
        <v>כן</v>
      </c>
      <c r="I235">
        <f>=HYPERLINK("https://mavat.iplan.gov.il/SV4/1/2005334934/310")</f>
      </c>
    </row>
    <row r="236">
      <c r="A236" t="str">
        <v>203-1214709</v>
      </c>
      <c r="B236" t="str">
        <v>אזור תעסוקה צפוני בית שאן ג/ 28358</v>
      </c>
      <c r="C236" t="str">
        <v>מחוזית</v>
      </c>
      <c r="D236" t="str">
        <v>בית שאן</v>
      </c>
      <c r="E236" t="str">
        <v>במילוי תנאים להפקדה</v>
      </c>
      <c r="F236" t="str">
        <v>כן</v>
      </c>
      <c r="G236" t="str">
        <v>כן</v>
      </c>
      <c r="H236" t="str">
        <v>כן</v>
      </c>
      <c r="I236">
        <f>=HYPERLINK("https://mavat.iplan.gov.il/SV4/1/2005304126/310")</f>
      </c>
    </row>
    <row r="237">
      <c r="A237" t="str">
        <v>603-1259092</v>
      </c>
      <c r="B237" t="str">
        <v>התחדשות עירונית מתחם גאפונוב - רובע ה', אשדוד</v>
      </c>
      <c r="C237" t="str">
        <v>מחוזית</v>
      </c>
      <c r="D237" t="str">
        <v>אשדוד</v>
      </c>
      <c r="E237" t="str">
        <v>במילוי תנאים להפקדה</v>
      </c>
      <c r="F237" t="str">
        <v>כן</v>
      </c>
      <c r="G237" t="str">
        <v>כן</v>
      </c>
      <c r="H237" t="str">
        <v>כן</v>
      </c>
      <c r="I237">
        <f>=HYPERLINK("https://mavat.iplan.gov.il/SV4/1/6005331994/310")</f>
      </c>
    </row>
    <row r="238">
      <c r="A238" t="str">
        <v>224-0702324</v>
      </c>
      <c r="B238" t="str">
        <v>הרחבת מושב קשת</v>
      </c>
      <c r="C238" t="str">
        <v>מחוזית</v>
      </c>
      <c r="D238" t="str">
        <v>מרחב הגולן</v>
      </c>
      <c r="E238" t="str">
        <v>במילוי תנאים להפקדה</v>
      </c>
      <c r="F238" t="str">
        <v>כן</v>
      </c>
      <c r="G238" t="str">
        <v>כן</v>
      </c>
      <c r="H238" t="str">
        <v>כן</v>
      </c>
      <c r="I238">
        <f>=HYPERLINK("https://mavat.iplan.gov.il/SV4/1/2000973783/310")</f>
      </c>
    </row>
    <row r="239">
      <c r="A239" t="str">
        <v>355-1445725</v>
      </c>
      <c r="B239" t="str">
        <v>מתקן אגירה-רכסים</v>
      </c>
      <c r="C239" t="str">
        <v>מחוזית</v>
      </c>
      <c r="D239" t="str">
        <v>זבולון,מורדות הכרמל,רכסים</v>
      </c>
      <c r="E239" t="str">
        <v>במילוי תנאים להפקדה</v>
      </c>
      <c r="F239" t="str">
        <v>כן</v>
      </c>
      <c r="G239" t="str">
        <v>כן</v>
      </c>
      <c r="H239" t="str">
        <v>כן</v>
      </c>
      <c r="I239">
        <f>=HYPERLINK("https://mavat.iplan.gov.il/SV4/1/3005448392/310")</f>
      </c>
    </row>
    <row r="240">
      <c r="A240" t="str">
        <v>יוש/ 1/ 5/ 158</v>
      </c>
      <c r="B240" t="str">
        <v>תכנית מפורטת מס 1/ 5/ 158 אבני חפץ שכונה מזרחית שיכון 720 יח''ד</v>
      </c>
      <c r="C240" t="str">
        <v>יו"ש -מועצת התכנון העליונה</v>
      </c>
      <c r="D240" t="str">
        <v>אבני חפץ,שומרון</v>
      </c>
      <c r="E240" t="str">
        <v>במילוי תנאים להפקדה</v>
      </c>
      <c r="F240" t="str">
        <v>כן</v>
      </c>
      <c r="G240" t="str">
        <v>כן</v>
      </c>
      <c r="H240" t="str">
        <v>לא</v>
      </c>
      <c r="I240">
        <f>=HYPERLINK("https://mavat.iplan.gov.il/SV4/1/7005360176/310")</f>
      </c>
    </row>
    <row r="241">
      <c r="A241" t="str">
        <v>יוש/ 2/ 2/ 110</v>
      </c>
      <c r="B241" t="str">
        <v>מגורים ובית עלמין</v>
      </c>
      <c r="C241" t="str">
        <v>יו"ש -מועצת התכנון העליונה</v>
      </c>
      <c r="D241" t="str">
        <v>ענב,שומרון</v>
      </c>
      <c r="E241" t="str">
        <v>במילוי תנאים להפקדה</v>
      </c>
      <c r="F241" t="str">
        <v>כן</v>
      </c>
      <c r="G241" t="str">
        <v>כן</v>
      </c>
      <c r="H241" t="str">
        <v>לא</v>
      </c>
      <c r="I241">
        <f>=HYPERLINK("https://mavat.iplan.gov.il/SV4/1/7005388972/310")</f>
      </c>
    </row>
    <row r="242">
      <c r="A242" t="str">
        <v>101-1002757</v>
      </c>
      <c r="B242" t="str">
        <v>בר כוכבא - התחדשות עירונית</v>
      </c>
      <c r="C242" t="str">
        <v>מחוזית</v>
      </c>
      <c r="D242" t="str">
        <v>ירושלים</v>
      </c>
      <c r="E242" t="str">
        <v>במילוי תנאים להפקדה</v>
      </c>
      <c r="F242" t="str">
        <v>כן</v>
      </c>
      <c r="G242" t="str">
        <v>כן</v>
      </c>
      <c r="H242" t="str">
        <v>כן</v>
      </c>
      <c r="I242">
        <f>=HYPERLINK("https://mavat.iplan.gov.il/SV4/1/1005156512/310")</f>
      </c>
    </row>
    <row r="243">
      <c r="A243" t="str">
        <v>204-1275213</v>
      </c>
      <c r="B243" t="str">
        <v>מולדת - הרחבה ג/ 29076</v>
      </c>
      <c r="C243" t="str">
        <v>מחוזית</v>
      </c>
      <c r="D243" t="str">
        <v>הגילבוע,הגלבוע,מולדת בני ברית</v>
      </c>
      <c r="E243" t="str">
        <v>במילוי תנאים להפקדה</v>
      </c>
      <c r="F243" t="str">
        <v>כן</v>
      </c>
      <c r="G243" t="str">
        <v>כן</v>
      </c>
      <c r="H243" t="str">
        <v>כן</v>
      </c>
      <c r="I243">
        <f>=HYPERLINK("https://mavat.iplan.gov.il/SV4/1/2005341656/310")</f>
      </c>
    </row>
    <row r="244">
      <c r="A244" t="str">
        <v>101-0477943</v>
      </c>
      <c r="B244" t="str">
        <v>הקמת שכונה חדשה, סוואחרה ירושלים</v>
      </c>
      <c r="C244" t="str">
        <v>מחוזית</v>
      </c>
      <c r="D244" t="str">
        <v>ירושלים</v>
      </c>
      <c r="E244" t="str">
        <v>במילוי תנאים להפקדה</v>
      </c>
      <c r="F244" t="str">
        <v>כן</v>
      </c>
      <c r="G244" t="str">
        <v>כן</v>
      </c>
      <c r="H244" t="str">
        <v>כן</v>
      </c>
      <c r="I244">
        <f>=HYPERLINK("https://mavat.iplan.gov.il/SV4/1/1000539607/310")</f>
      </c>
    </row>
    <row r="245">
      <c r="A245" t="str">
        <v>457-1162601</v>
      </c>
      <c r="B245" t="str">
        <v>התחדשות מתחם מכבי</v>
      </c>
      <c r="C245" t="str">
        <v>מחוזית</v>
      </c>
      <c r="D245" t="str">
        <v>אבן יהודה,שרונים</v>
      </c>
      <c r="E245" t="str">
        <v>במילוי תנאים להפקדה</v>
      </c>
      <c r="F245" t="str">
        <v>כן</v>
      </c>
      <c r="G245" t="str">
        <v>כן</v>
      </c>
      <c r="H245" t="str">
        <v>כן</v>
      </c>
      <c r="I245">
        <f>=HYPERLINK("https://mavat.iplan.gov.il/SV4/1/4005270244/310")</f>
      </c>
    </row>
    <row r="246">
      <c r="A246" t="str">
        <v>606-1246586</v>
      </c>
      <c r="B246" t="str">
        <v>מתחם האצטדיון קרית גת הרחבת מגרש ושיפור קישוריות</v>
      </c>
      <c r="C246" t="str">
        <v>מחוזית</v>
      </c>
      <c r="D246" t="str">
        <v>קרית גת</v>
      </c>
      <c r="E246" t="str">
        <v>במילוי תנאים להפקדה</v>
      </c>
      <c r="F246" t="str">
        <v>כן</v>
      </c>
      <c r="G246" t="str">
        <v>כן</v>
      </c>
      <c r="H246" t="str">
        <v>כן</v>
      </c>
      <c r="I246">
        <f>=HYPERLINK("https://mavat.iplan.gov.il/SV4/1/6005324266/310")</f>
      </c>
    </row>
    <row r="247">
      <c r="A247" t="str">
        <v>651-1338284</v>
      </c>
      <c r="B247" t="str">
        <v>מט"ש שדרות שער הנגב - הגדלת זכויות</v>
      </c>
      <c r="C247" t="str">
        <v>מחוזית</v>
      </c>
      <c r="D247" t="str">
        <v>נגב מערבי,שער הנגב</v>
      </c>
      <c r="E247" t="str">
        <v>במילוי תנאים להפקדה</v>
      </c>
      <c r="F247" t="str">
        <v>כן</v>
      </c>
      <c r="G247" t="str">
        <v>כן</v>
      </c>
      <c r="H247" t="str">
        <v>כן</v>
      </c>
      <c r="I247">
        <f>=HYPERLINK("https://mavat.iplan.gov.il/SV4/1/6005382348/310")</f>
      </c>
    </row>
    <row r="248">
      <c r="A248" t="str">
        <v>656-1239151</v>
      </c>
      <c r="B248" t="str">
        <v>הסדרת מתחם מבני ציבור בעין גדי</v>
      </c>
      <c r="C248" t="str">
        <v>מחוזית</v>
      </c>
      <c r="D248" t="str">
        <v>תמר</v>
      </c>
      <c r="E248" t="str">
        <v>במילוי תנאים להפקדה</v>
      </c>
      <c r="F248" t="str">
        <v>כן</v>
      </c>
      <c r="G248" t="str">
        <v>כן</v>
      </c>
      <c r="H248" t="str">
        <v>כן</v>
      </c>
      <c r="I248">
        <f>=HYPERLINK("https://mavat.iplan.gov.il/SV4/1/6005319784/310")</f>
      </c>
    </row>
    <row r="249">
      <c r="A249" t="str">
        <v>207-1399872</v>
      </c>
      <c r="B249" t="str">
        <v>עידכון להוראות תכנית מתאר טבריה ג/18071</v>
      </c>
      <c r="C249" t="str">
        <v>מחוזית</v>
      </c>
      <c r="D249" t="str">
        <v>טבריה</v>
      </c>
      <c r="E249" t="str">
        <v>במילוי תנאים להפקדה</v>
      </c>
      <c r="F249" t="str">
        <v>כן</v>
      </c>
      <c r="G249" t="str">
        <v>כן</v>
      </c>
      <c r="H249" t="str">
        <v>כן</v>
      </c>
      <c r="I249">
        <f>=HYPERLINK("https://mavat.iplan.gov.il/SV4/1/2005420596/310")</f>
      </c>
    </row>
    <row r="250">
      <c r="A250" t="str">
        <v>252-1239367</v>
      </c>
      <c r="B250" t="str">
        <v>מתחם 10 - כפר יאסיף</v>
      </c>
      <c r="C250" t="str">
        <v>מחוזית</v>
      </c>
      <c r="D250" t="str">
        <v>הגליל המרכזי,כפר יאסיף</v>
      </c>
      <c r="E250" t="str">
        <v>במילוי תנאים להפקדה</v>
      </c>
      <c r="F250" t="str">
        <v>כן</v>
      </c>
      <c r="G250" t="str">
        <v>כן</v>
      </c>
      <c r="H250" t="str">
        <v>כן</v>
      </c>
      <c r="I250">
        <f>=HYPERLINK("https://mavat.iplan.gov.il/SV4/1/2005319902/310")</f>
      </c>
    </row>
    <row r="251">
      <c r="A251" t="str">
        <v>254-1420983</v>
      </c>
      <c r="B251" t="str">
        <v>מטווח גניגר - שינוי הוראות</v>
      </c>
      <c r="C251" t="str">
        <v>מחוזית</v>
      </c>
      <c r="D251" t="str">
        <v>גניגר,יזרעאלים,עמק יזרעאל</v>
      </c>
      <c r="E251" t="str">
        <v>במילוי תנאים להפקדה</v>
      </c>
      <c r="F251" t="str">
        <v>כן</v>
      </c>
      <c r="G251" t="str">
        <v>כן</v>
      </c>
      <c r="H251" t="str">
        <v>כן</v>
      </c>
      <c r="I251">
        <f>=HYPERLINK("https://mavat.iplan.gov.il/SV4/1/2005433462/310")</f>
      </c>
    </row>
    <row r="252">
      <c r="A252" t="str">
        <v>352-1407865</v>
      </c>
      <c r="B252" t="str">
        <v>הסדרת דרך לאורך נחל גדורה, קרית ביאליק</v>
      </c>
      <c r="C252" t="str">
        <v>מחוזית</v>
      </c>
      <c r="D252" t="str">
        <v>קריות,קרית ביאליק</v>
      </c>
      <c r="E252" t="str">
        <v>במילוי תנאים להפקדה</v>
      </c>
      <c r="F252" t="str">
        <v>כן</v>
      </c>
      <c r="G252" t="str">
        <v>כן</v>
      </c>
      <c r="H252" t="str">
        <v>כן</v>
      </c>
      <c r="I252">
        <f>=HYPERLINK("https://mavat.iplan.gov.il/SV4/1/3005425572/310")</f>
      </c>
    </row>
    <row r="253">
      <c r="A253" t="str">
        <v>354-1461623</v>
      </c>
      <c r="B253" t="str">
        <v>שינוי ייעוד והוראות בנייה - מתחם מגרש כדורגל - כפר קרע</v>
      </c>
      <c r="C253" t="str">
        <v>מחוזית</v>
      </c>
      <c r="D253" t="str">
        <v>כפר קרע,עירון</v>
      </c>
      <c r="E253" t="str">
        <v>במילוי תנאים להפקדה</v>
      </c>
      <c r="F253" t="str">
        <v>כן</v>
      </c>
      <c r="G253" t="str">
        <v>כן</v>
      </c>
      <c r="H253" t="str">
        <v>כן</v>
      </c>
      <c r="I253">
        <f>=HYPERLINK("https://mavat.iplan.gov.il/SV4/1/3005458004/310")</f>
      </c>
    </row>
    <row r="254">
      <c r="A254" t="str">
        <v>יוש/ 2/ 322</v>
      </c>
      <c r="B254" t="str">
        <v>הרחבת יישוב רותם</v>
      </c>
      <c r="C254" t="str">
        <v>יו"ש -מועצת התכנון העליונה</v>
      </c>
      <c r="D254" t="str">
        <v>ערבות הירדן,רותם</v>
      </c>
      <c r="E254" t="str">
        <v>במילוי תנאים להפקדה</v>
      </c>
      <c r="F254" t="str">
        <v>כן</v>
      </c>
      <c r="G254" t="str">
        <v>כן</v>
      </c>
      <c r="H254" t="str">
        <v>לא</v>
      </c>
      <c r="I254">
        <f>=HYPERLINK("https://mavat.iplan.gov.il/SV4/1/7005466962/310")</f>
      </c>
    </row>
    <row r="255">
      <c r="A255" t="str">
        <v>301-0499046</v>
      </c>
      <c r="B255" t="str">
        <v>מתחם דיור מוגן, מסחר, תעסוקה וספורט גוש זבולון</v>
      </c>
      <c r="C255" t="str">
        <v>מחוזית</v>
      </c>
      <c r="D255" t="str">
        <v>אושה,זבולון</v>
      </c>
      <c r="E255" t="str">
        <v>במילוי תנאים להפקדה</v>
      </c>
      <c r="F255" t="str">
        <v>כן</v>
      </c>
      <c r="G255" t="str">
        <v>כן</v>
      </c>
      <c r="H255" t="str">
        <v>כן</v>
      </c>
      <c r="I255">
        <f>=HYPERLINK("https://mavat.iplan.gov.il/SV4/1/3000666173/310")</f>
      </c>
    </row>
    <row r="256">
      <c r="A256" t="str">
        <v>407-1292432</v>
      </c>
      <c r="B256" t="str">
        <v>מאגר ויסות באר יעקוב</v>
      </c>
      <c r="C256" t="str">
        <v>מחוזית</v>
      </c>
      <c r="D256" t="str">
        <v>באר יעקב,מצפה אפק,נס ציונה</v>
      </c>
      <c r="E256" t="str">
        <v>במילוי תנאים להפקדה</v>
      </c>
      <c r="F256" t="str">
        <v>כן</v>
      </c>
      <c r="G256" t="str">
        <v>כן</v>
      </c>
      <c r="H256" t="str">
        <v>כן</v>
      </c>
      <c r="I256">
        <f>=HYPERLINK("https://mavat.iplan.gov.il/SV4/1/4005352940/310")</f>
      </c>
    </row>
    <row r="257">
      <c r="A257" t="str">
        <v>507-0873596</v>
      </c>
      <c r="B257" t="str">
        <v>4836 בית קברות טאסו</v>
      </c>
      <c r="C257" t="str">
        <v>מחוזית</v>
      </c>
      <c r="D257" t="str">
        <v>תל אביב-יפו</v>
      </c>
      <c r="E257" t="str">
        <v>במילוי תנאים להפקדה</v>
      </c>
      <c r="F257" t="str">
        <v>כן</v>
      </c>
      <c r="G257" t="str">
        <v>כן</v>
      </c>
      <c r="H257" t="str">
        <v>כן</v>
      </c>
      <c r="I257">
        <f>=HYPERLINK("https://mavat.iplan.gov.il/SV4/1/5005077734/310")</f>
      </c>
    </row>
    <row r="258">
      <c r="A258" t="str">
        <v>620-0682005</v>
      </c>
      <c r="B258" t="str">
        <v>מוקדי תיירות- ניצנה</v>
      </c>
      <c r="C258" t="str">
        <v>מחוזית</v>
      </c>
      <c r="D258" t="str">
        <v>רמת נגב</v>
      </c>
      <c r="E258" t="str">
        <v>במילוי תנאים להפקדה</v>
      </c>
      <c r="F258" t="str">
        <v>כן</v>
      </c>
      <c r="G258" t="str">
        <v>כן</v>
      </c>
      <c r="H258" t="str">
        <v>כן</v>
      </c>
      <c r="I258">
        <f>=HYPERLINK("https://mavat.iplan.gov.il/SV4/1/6000961211/310")</f>
      </c>
    </row>
    <row r="259">
      <c r="A259" t="str">
        <v>634-1318104</v>
      </c>
      <c r="B259" t="str">
        <v>מושב שחר- הסדרה ותוספת יח"ד שלישית בנחלות</v>
      </c>
      <c r="C259" t="str">
        <v>מחוזית</v>
      </c>
      <c r="D259" t="str">
        <v>לכיש,שחר</v>
      </c>
      <c r="E259" t="str">
        <v>במילוי תנאים להפקדה</v>
      </c>
      <c r="F259" t="str">
        <v>כן</v>
      </c>
      <c r="G259" t="str">
        <v>כן</v>
      </c>
      <c r="H259" t="str">
        <v>כן</v>
      </c>
      <c r="I259">
        <f>=HYPERLINK("https://mavat.iplan.gov.il/SV4/1/6005370328/310")</f>
      </c>
    </row>
    <row r="260">
      <c r="A260" t="str">
        <v>652-1338516</v>
      </c>
      <c r="B260" t="str">
        <v>פארק תעשיות - ערערה בנגב</v>
      </c>
      <c r="C260" t="str">
        <v>מחוזית</v>
      </c>
      <c r="D260" t="str">
        <v>נגב מזרחי,ערערה בנגב</v>
      </c>
      <c r="E260" t="str">
        <v>במילוי תנאים להפקדה</v>
      </c>
      <c r="F260" t="str">
        <v>כן</v>
      </c>
      <c r="G260" t="str">
        <v>כן</v>
      </c>
      <c r="H260" t="str">
        <v>כן</v>
      </c>
      <c r="I260">
        <f>=HYPERLINK("https://mavat.iplan.gov.il/SV4/1/6005382520/310")</f>
      </c>
    </row>
    <row r="261">
      <c r="A261" t="str">
        <v>652-1026699</v>
      </c>
      <c r="B261" t="str">
        <v>תחנת שאיבה צפונית, ערערה בנגב.</v>
      </c>
      <c r="C261" t="str">
        <v>מחוזית</v>
      </c>
      <c r="D261" t="str">
        <v>נגב מזרחי,ערערה בנגב</v>
      </c>
      <c r="E261" t="str">
        <v>במילוי תנאים להפקדה</v>
      </c>
      <c r="F261" t="str">
        <v>כן</v>
      </c>
      <c r="G261" t="str">
        <v>כן</v>
      </c>
      <c r="H261" t="str">
        <v>כן</v>
      </c>
      <c r="I261">
        <f>=HYPERLINK("https://mavat.iplan.gov.il/SV4/1/6005187194/310")</f>
      </c>
    </row>
    <row r="262">
      <c r="A262" t="str">
        <v>214-1392653</v>
      </c>
      <c r="B262" t="str">
        <v>פוריה כפר עבודה - הסדרת בית עלמין קיים</v>
      </c>
      <c r="C262" t="str">
        <v>מחוזית</v>
      </c>
      <c r="D262" t="str">
        <v>עמק הירדן,פוריה-כפר עבודה</v>
      </c>
      <c r="E262" t="str">
        <v>במילוי תנאים להפקדה</v>
      </c>
      <c r="F262" t="str">
        <v>כן</v>
      </c>
      <c r="G262" t="str">
        <v>כן</v>
      </c>
      <c r="H262" t="str">
        <v>כן</v>
      </c>
      <c r="I262">
        <f>=HYPERLINK("https://mavat.iplan.gov.il/SV4/1/2005415902/310")</f>
      </c>
    </row>
    <row r="263">
      <c r="A263" t="str">
        <v>254-1344670</v>
      </c>
      <c r="B263" t="str">
        <v>שינוי מיקום כבישים בשכונת גואמיס בהתאם למצב קיים בשטח</v>
      </c>
      <c r="C263" t="str">
        <v>מחוזית</v>
      </c>
      <c r="D263" t="str">
        <v>זרזיר,יזרעאלים</v>
      </c>
      <c r="E263" t="str">
        <v>במילוי תנאים להפקדה</v>
      </c>
      <c r="F263" t="str">
        <v>כן</v>
      </c>
      <c r="G263" t="str">
        <v>כן</v>
      </c>
      <c r="H263" t="str">
        <v>כן</v>
      </c>
      <c r="I263">
        <f>=HYPERLINK("https://mavat.iplan.gov.il/SV4/1/2005385830/310")</f>
      </c>
    </row>
    <row r="264">
      <c r="A264" t="str">
        <v>259-1253053</v>
      </c>
      <c r="B264" t="str">
        <v>הר הצפיה, מטולה</v>
      </c>
      <c r="C264" t="str">
        <v>מחוזית</v>
      </c>
      <c r="D264" t="str">
        <v>אצבע הגליל,מטולה</v>
      </c>
      <c r="E264" t="str">
        <v>במילוי תנאים להפקדה</v>
      </c>
      <c r="F264" t="str">
        <v>כן</v>
      </c>
      <c r="G264" t="str">
        <v>כן</v>
      </c>
      <c r="H264" t="str">
        <v>כן</v>
      </c>
      <c r="I264">
        <f>=HYPERLINK("https://mavat.iplan.gov.il/SV4/1/2005328304/310")</f>
      </c>
    </row>
    <row r="265">
      <c r="A265" t="str">
        <v>260-1442334</v>
      </c>
      <c r="B265" t="str">
        <v>הסדרת מתחם מועצה - ביענה</v>
      </c>
      <c r="C265" t="str">
        <v>מחוזית</v>
      </c>
      <c r="D265" t="str">
        <v>ביענה,בקעת בית הכרם</v>
      </c>
      <c r="E265" t="str">
        <v>במילוי תנאים להפקדה</v>
      </c>
      <c r="F265" t="str">
        <v>כן</v>
      </c>
      <c r="G265" t="str">
        <v>כן</v>
      </c>
      <c r="H265" t="str">
        <v>כן</v>
      </c>
      <c r="I265">
        <f>=HYPERLINK("https://mavat.iplan.gov.il/SV4/1/2005446222/310")</f>
      </c>
    </row>
    <row r="266">
      <c r="A266" t="str">
        <v>תמל/ 2059</v>
      </c>
      <c r="B266" t="str">
        <v>התחדשות עירונית שכונת אפק, קרית ביאליק</v>
      </c>
      <c r="C266" t="str">
        <v>ארצית</v>
      </c>
      <c r="D266" t="str">
        <v>קריות,קרית ביאליק</v>
      </c>
      <c r="E266" t="str">
        <v>במילוי תנאים להפקדה</v>
      </c>
      <c r="F266" t="str">
        <v>כן</v>
      </c>
      <c r="G266" t="str">
        <v>כן</v>
      </c>
      <c r="H266" t="str">
        <v>כן</v>
      </c>
      <c r="I266">
        <f>=HYPERLINK("https://mavat.iplan.gov.il/SV4/1/99005338040/310")</f>
      </c>
    </row>
    <row r="267">
      <c r="A267" t="str">
        <v>506-1166065</v>
      </c>
      <c r="B267" t="str">
        <v>רג/1899-התחדשות עירונית-מתחם שלם 20-30 רמת שקמה ר"ג</v>
      </c>
      <c r="C267" t="str">
        <v>מחוזית</v>
      </c>
      <c r="D267" t="str">
        <v>רמת גן</v>
      </c>
      <c r="E267" t="str">
        <v>במילוי תנאים להפקדה</v>
      </c>
      <c r="F267" t="str">
        <v>כן</v>
      </c>
      <c r="G267" t="str">
        <v>כן</v>
      </c>
      <c r="H267" t="str">
        <v>כן</v>
      </c>
      <c r="I267">
        <f>=HYPERLINK("https://mavat.iplan.gov.il/SV4/1/5005272350/310")</f>
      </c>
    </row>
    <row r="268">
      <c r="A268" t="str">
        <v>605-0991604</v>
      </c>
      <c r="B268" t="str">
        <v>התחדשות מתחם הצדיק מירושלים, שכונה ד', באר שבע</v>
      </c>
      <c r="C268" t="str">
        <v>מחוזית</v>
      </c>
      <c r="D268" t="str">
        <v>באר שבע</v>
      </c>
      <c r="E268" t="str">
        <v>במילוי תנאים להפקדה</v>
      </c>
      <c r="F268" t="str">
        <v>כן</v>
      </c>
      <c r="G268" t="str">
        <v>כן</v>
      </c>
      <c r="H268" t="str">
        <v>כן</v>
      </c>
      <c r="I268">
        <f>=HYPERLINK("https://mavat.iplan.gov.il/SV4/1/6005149684/310")</f>
      </c>
    </row>
    <row r="269">
      <c r="A269" t="str">
        <v>101-1196161</v>
      </c>
      <c r="B269" t="str">
        <v>חומת שמואל מזרח</v>
      </c>
      <c r="C269" t="str">
        <v>מחוזית</v>
      </c>
      <c r="D269" t="str">
        <v>ירושלים</v>
      </c>
      <c r="E269" t="str">
        <v>במילוי תנאים להפקדה</v>
      </c>
      <c r="F269" t="str">
        <v>כן</v>
      </c>
      <c r="G269" t="str">
        <v>כן</v>
      </c>
      <c r="H269" t="str">
        <v>כן</v>
      </c>
      <c r="I269">
        <f>=HYPERLINK("https://mavat.iplan.gov.il/SV4/1/1005290506/310")</f>
      </c>
    </row>
    <row r="270">
      <c r="A270" t="str">
        <v>205-1076165</v>
      </c>
      <c r="B270" t="str">
        <v>סלאמה רה תכנון - דרום ג/ 28951</v>
      </c>
      <c r="C270" t="str">
        <v>מחוזית</v>
      </c>
      <c r="D270" t="str">
        <v>משגב,סלמה</v>
      </c>
      <c r="E270" t="str">
        <v>במילוי תנאים להפקדה</v>
      </c>
      <c r="F270" t="str">
        <v>כן</v>
      </c>
      <c r="G270" t="str">
        <v>כן</v>
      </c>
      <c r="H270" t="str">
        <v>כן</v>
      </c>
      <c r="I270">
        <f>=HYPERLINK("https://mavat.iplan.gov.il/SV4/1/2005216916/310")</f>
      </c>
    </row>
    <row r="271">
      <c r="A271" t="str">
        <v>205-1158674</v>
      </c>
      <c r="B271" t="str">
        <v>סלאמה רה תכנון - צפון ג/ 28950</v>
      </c>
      <c r="C271" t="str">
        <v>מחוזית</v>
      </c>
      <c r="D271" t="str">
        <v>משגב,סלמה</v>
      </c>
      <c r="E271" t="str">
        <v>במילוי תנאים להפקדה</v>
      </c>
      <c r="F271" t="str">
        <v>כן</v>
      </c>
      <c r="G271" t="str">
        <v>כן</v>
      </c>
      <c r="H271" t="str">
        <v>כן</v>
      </c>
      <c r="I271">
        <f>=HYPERLINK("https://mavat.iplan.gov.il/SV4/1/2005267966/310")</f>
      </c>
    </row>
    <row r="272">
      <c r="A272" t="str">
        <v>252-1131366</v>
      </c>
      <c r="B272" t="str">
        <v>תכנית מתאר כוללנית ג'דידה מכר</v>
      </c>
      <c r="C272" t="str">
        <v>מחוזית</v>
      </c>
      <c r="D272" t="str">
        <v>הגליל המרכזי</v>
      </c>
      <c r="E272" t="str">
        <v>במילוי תנאים להפקדה</v>
      </c>
      <c r="F272" t="str">
        <v>כן</v>
      </c>
      <c r="G272" t="str">
        <v>כן</v>
      </c>
      <c r="H272" t="str">
        <v>כן</v>
      </c>
      <c r="I272">
        <f>=HYPERLINK("https://mavat.iplan.gov.il/SV4/1/2005251424/310")</f>
      </c>
    </row>
    <row r="273">
      <c r="A273" t="str">
        <v>254-1166198</v>
      </c>
      <c r="B273" t="str">
        <v>מתקן אגירה במתח עליון - קיבוץ יפעת</v>
      </c>
      <c r="C273" t="str">
        <v>מחוזית</v>
      </c>
      <c r="D273" t="str">
        <v>יזרעאלים,יפעת,עמק יזרעאל</v>
      </c>
      <c r="E273" t="str">
        <v>במילוי תנאים להפקדה</v>
      </c>
      <c r="F273" t="str">
        <v>כן</v>
      </c>
      <c r="G273" t="str">
        <v>כן</v>
      </c>
      <c r="H273" t="str">
        <v>כן</v>
      </c>
      <c r="I273">
        <f>=HYPERLINK("https://mavat.iplan.gov.il/SV4/1/2005272468/310")</f>
      </c>
    </row>
    <row r="274">
      <c r="A274" t="str">
        <v>261-1450162</v>
      </c>
      <c r="B274" t="str">
        <v>ג/29265 הרחבת אתר מיון ומחזור פסולת-אעבלין</v>
      </c>
      <c r="C274" t="str">
        <v>מחוזית</v>
      </c>
      <c r="D274" t="str">
        <v>אעבלין,גבעות אלונים</v>
      </c>
      <c r="E274" t="str">
        <v>במילוי תנאים להפקדה</v>
      </c>
      <c r="F274" t="str">
        <v>כן</v>
      </c>
      <c r="G274" t="str">
        <v>כן</v>
      </c>
      <c r="H274" t="str">
        <v>כן</v>
      </c>
      <c r="I274">
        <f>=HYPERLINK("https://mavat.iplan.gov.il/SV4/1/2005450930/310")</f>
      </c>
    </row>
    <row r="275">
      <c r="A275" t="str">
        <v>633-1338789</v>
      </c>
      <c r="B275" t="str">
        <v>יד מרדכי - שינויים באזור מבני המשק</v>
      </c>
      <c r="C275" t="str">
        <v>מחוזית</v>
      </c>
      <c r="D275" t="str">
        <v>חוף אשקלון,יד מרדכי</v>
      </c>
      <c r="E275" t="str">
        <v>במילוי תנאים להפקדה</v>
      </c>
      <c r="F275" t="str">
        <v>כן</v>
      </c>
      <c r="G275" t="str">
        <v>כן</v>
      </c>
      <c r="H275" t="str">
        <v>כן</v>
      </c>
      <c r="I275">
        <f>=HYPERLINK("https://mavat.iplan.gov.il/SV4/1/6005382676/310")</f>
      </c>
    </row>
    <row r="276">
      <c r="A276" t="str">
        <v>יוש/ 2/ 1/ 413</v>
      </c>
      <c r="B276" t="str">
        <v>הרחבת היישוב מעלה עמוס</v>
      </c>
      <c r="D276" t="str">
        <v>גוש עציון,מעלה עמוס</v>
      </c>
      <c r="E276" t="str">
        <v>במילוי תנאים להפקדה</v>
      </c>
      <c r="F276" t="str">
        <v>כן</v>
      </c>
      <c r="G276" t="str">
        <v>כן</v>
      </c>
      <c r="H276" t="str">
        <v>לא</v>
      </c>
      <c r="I276">
        <f>=HYPERLINK("https://mavat.iplan.gov.il/SV4/1/7005405160/310")</f>
      </c>
    </row>
    <row r="277">
      <c r="A277" t="str">
        <v>יוש/ 2/ 311</v>
      </c>
      <c r="B277" t="str">
        <v>גיתית, הרחבת היישוב</v>
      </c>
      <c r="C277" t="str">
        <v>יו"ש -מועצת התכנון העליונה</v>
      </c>
      <c r="D277" t="str">
        <v>גיתית,ערבות הירדן</v>
      </c>
      <c r="E277" t="str">
        <v>במילוי תנאים להפקדה</v>
      </c>
      <c r="F277" t="str">
        <v>כן</v>
      </c>
      <c r="G277" t="str">
        <v>כן</v>
      </c>
      <c r="H277" t="str">
        <v>לא</v>
      </c>
      <c r="I277">
        <f>=HYPERLINK("https://mavat.iplan.gov.il/SV4/1/7005450516/310")</f>
      </c>
    </row>
    <row r="278">
      <c r="A278" t="str">
        <v>תמל/ 1126</v>
      </c>
      <c r="B278" t="str">
        <v>תמל/ 1126 - השער הדרומי</v>
      </c>
      <c r="C278" t="str">
        <v>ארצית</v>
      </c>
      <c r="D278" t="str">
        <v>הגליל העליון,קרית שמונה</v>
      </c>
      <c r="E278" t="str">
        <v>במילוי תנאים להפקדה</v>
      </c>
      <c r="F278" t="str">
        <v>כן</v>
      </c>
      <c r="G278" t="str">
        <v>כן</v>
      </c>
      <c r="H278" t="str">
        <v>כן</v>
      </c>
      <c r="I278">
        <f>=HYPERLINK("https://mavat.iplan.gov.il/SV4/1/99005365186/310")</f>
      </c>
    </row>
    <row r="279">
      <c r="A279" t="str">
        <v>204-1374677</v>
      </c>
      <c r="B279" t="str">
        <v>ג/21047-חלוקה למגרשים וקביעת זכויות בניה - וינגייט צפון</v>
      </c>
      <c r="C279" t="str">
        <v>מחוזית</v>
      </c>
      <c r="D279" t="str">
        <v>הגילבוע,הגלבוע</v>
      </c>
      <c r="E279" t="str">
        <v>במילוי תנאים להפקדה</v>
      </c>
      <c r="F279" t="str">
        <v>כן</v>
      </c>
      <c r="G279" t="str">
        <v>כן</v>
      </c>
      <c r="H279" t="str">
        <v>כן</v>
      </c>
      <c r="I279">
        <f>=HYPERLINK("https://mavat.iplan.gov.il/SV4/1/2005405470/310")</f>
      </c>
    </row>
    <row r="280">
      <c r="A280" t="str">
        <v>209-0964841</v>
      </c>
      <c r="B280" t="str">
        <v>כרם בן זימרה - הסדרות תכנוניות בישוב ותוספת מגורים - ג/ 28070</v>
      </c>
      <c r="C280" t="str">
        <v>מחוזית</v>
      </c>
      <c r="D280" t="str">
        <v>כרם בן זמרה,מרום הגליל</v>
      </c>
      <c r="E280" t="str">
        <v>במילוי תנאים להפקדה</v>
      </c>
      <c r="F280" t="str">
        <v>כן</v>
      </c>
      <c r="G280" t="str">
        <v>כן</v>
      </c>
      <c r="H280" t="str">
        <v>כן</v>
      </c>
      <c r="I280">
        <f>=HYPERLINK("https://mavat.iplan.gov.il/SV4/1/2005133116/310")</f>
      </c>
    </row>
    <row r="281">
      <c r="A281" t="str">
        <v>254-1291962</v>
      </c>
      <c r="B281" t="str">
        <v>הרחבה למושב ציפורי</v>
      </c>
      <c r="C281" t="str">
        <v>מחוזית</v>
      </c>
      <c r="D281" t="str">
        <v>יזרעאלים,עמק יזרעאל,צפורי</v>
      </c>
      <c r="E281" t="str">
        <v>במילוי תנאים להפקדה</v>
      </c>
      <c r="F281" t="str">
        <v>כן</v>
      </c>
      <c r="G281" t="str">
        <v>כן</v>
      </c>
      <c r="H281" t="str">
        <v>כן</v>
      </c>
      <c r="I281">
        <f>=HYPERLINK("https://mavat.iplan.gov.il/SV4/1/2005352704/310")</f>
      </c>
    </row>
    <row r="282">
      <c r="A282" t="str">
        <v>258-1125954</v>
      </c>
      <c r="B282" t="str">
        <v>תוכנית לאיחוד וחלוקה במתחמים מ-12 מ-22 כפר גוש חלב</v>
      </c>
      <c r="C282" t="str">
        <v>מחוזית</v>
      </c>
      <c r="D282" t="str">
        <v>גוש חלב,מעלה נפתלי</v>
      </c>
      <c r="E282" t="str">
        <v>במילוי תנאים להפקדה</v>
      </c>
      <c r="F282" t="str">
        <v>כן</v>
      </c>
      <c r="G282" t="str">
        <v>כן</v>
      </c>
      <c r="H282" t="str">
        <v>כן</v>
      </c>
      <c r="I282">
        <f>=HYPERLINK("https://mavat.iplan.gov.il/SV4/1/2005247850/310")</f>
      </c>
    </row>
    <row r="283">
      <c r="A283" t="str">
        <v>260-0488783</v>
      </c>
      <c r="B283" t="str">
        <v>דיר אל אסד - שכונה צפונית</v>
      </c>
      <c r="C283" t="str">
        <v>מחוזית</v>
      </c>
      <c r="D283" t="str">
        <v>בקעת בית הכרם,דיר אל-אסד</v>
      </c>
      <c r="E283" t="str">
        <v>במילוי תנאים להפקדה</v>
      </c>
      <c r="F283" t="str">
        <v>כן</v>
      </c>
      <c r="G283" t="str">
        <v>כן</v>
      </c>
      <c r="H283" t="str">
        <v>כן</v>
      </c>
      <c r="I283">
        <f>=HYPERLINK("https://mavat.iplan.gov.il/SV4/1/2000612845/310")</f>
      </c>
    </row>
    <row r="284">
      <c r="A284" t="str">
        <v>352-1408285</v>
      </c>
      <c r="B284" t="str">
        <v>התחדשות עירונית שדרות ירושלים - קריית ים</v>
      </c>
      <c r="C284" t="str">
        <v>מחוזית</v>
      </c>
      <c r="D284" t="str">
        <v>קריות,קרית ים</v>
      </c>
      <c r="E284" t="str">
        <v>במילוי תנאים להפקדה</v>
      </c>
      <c r="F284" t="str">
        <v>כן</v>
      </c>
      <c r="G284" t="str">
        <v>כן</v>
      </c>
      <c r="H284" t="str">
        <v>כן</v>
      </c>
      <c r="I284">
        <f>=HYPERLINK("https://mavat.iplan.gov.il/SV4/1/3005425838/310")</f>
      </c>
    </row>
    <row r="285">
      <c r="A285" t="str">
        <v>411-1096148</v>
      </c>
      <c r="B285" t="str">
        <v>בית עלמין יהוד מונוסון</v>
      </c>
      <c r="C285" t="str">
        <v>מחוזית</v>
      </c>
      <c r="D285" t="str">
        <v>גלילית מחוז המרכז,יהוד,יהוד-מונוסון</v>
      </c>
      <c r="E285" t="str">
        <v>במילוי תנאים להפקדה</v>
      </c>
      <c r="F285" t="str">
        <v>כן</v>
      </c>
      <c r="G285" t="str">
        <v>כן</v>
      </c>
      <c r="H285" t="str">
        <v>כן</v>
      </c>
      <c r="I285">
        <f>=HYPERLINK("https://mavat.iplan.gov.il/SV4/1/4005229392/310")</f>
      </c>
    </row>
    <row r="286">
      <c r="A286" t="str">
        <v>251-1170497</v>
      </c>
      <c r="B286" t="str">
        <v>דרך 806 מגאר- ביטול קטע רצועת חיץ</v>
      </c>
      <c r="C286" t="str">
        <v>מחוזית</v>
      </c>
      <c r="D286" t="str">
        <v>הגליל המזרחי,מג'אר</v>
      </c>
      <c r="E286" t="str">
        <v>במילוי תנאים להפקדה</v>
      </c>
      <c r="F286" t="str">
        <v>כן</v>
      </c>
      <c r="G286" t="str">
        <v>כן</v>
      </c>
      <c r="H286" t="str">
        <v>כן</v>
      </c>
      <c r="I286">
        <f>=HYPERLINK("https://mavat.iplan.gov.il/SV4/1/2005275238/310")</f>
      </c>
    </row>
    <row r="287">
      <c r="A287" t="str">
        <v>263-1000421</v>
      </c>
      <c r="B287" t="str">
        <v>מתחם 6 - ביר א-טירה, תמרה</v>
      </c>
      <c r="C287" t="str">
        <v>מחוזית</v>
      </c>
      <c r="D287" t="str">
        <v>טמרה,שפלת הגליל,תמרה</v>
      </c>
      <c r="E287" t="str">
        <v>במילוי תנאים להפקדה</v>
      </c>
      <c r="F287" t="str">
        <v>כן</v>
      </c>
      <c r="G287" t="str">
        <v>כן</v>
      </c>
      <c r="H287" t="str">
        <v>כן</v>
      </c>
      <c r="I287">
        <f>=HYPERLINK("https://mavat.iplan.gov.il/SV4/1/2005154980/310")</f>
      </c>
    </row>
    <row r="288">
      <c r="A288" t="str">
        <v>263-1000439</v>
      </c>
      <c r="B288" t="str">
        <v>מתחם 3 צפון -ואדי אל-עין, תמרה</v>
      </c>
      <c r="C288" t="str">
        <v>מחוזית</v>
      </c>
      <c r="D288" t="str">
        <v>טמרה,שפלת הגליל,תמרה</v>
      </c>
      <c r="E288" t="str">
        <v>במילוי תנאים להפקדה</v>
      </c>
      <c r="F288" t="str">
        <v>כן</v>
      </c>
      <c r="G288" t="str">
        <v>כן</v>
      </c>
      <c r="H288" t="str">
        <v>כן</v>
      </c>
      <c r="I288">
        <f>=HYPERLINK("https://mavat.iplan.gov.il/SV4/1/2005154982/310")</f>
      </c>
    </row>
    <row r="289">
      <c r="A289" t="str">
        <v>263-1081785</v>
      </c>
      <c r="B289" t="str">
        <v>אזור תעשיה-מתחם 7, תמרה</v>
      </c>
      <c r="C289" t="str">
        <v>מחוזית</v>
      </c>
      <c r="D289" t="str">
        <v>טמרה,שפלת הגליל,תמרה</v>
      </c>
      <c r="E289" t="str">
        <v>במילוי תנאים להפקדה</v>
      </c>
      <c r="F289" t="str">
        <v>כן</v>
      </c>
      <c r="G289" t="str">
        <v>כן</v>
      </c>
      <c r="H289" t="str">
        <v>כן</v>
      </c>
      <c r="I289">
        <f>=HYPERLINK("https://mavat.iplan.gov.il/SV4/1/2005220530/310")</f>
      </c>
    </row>
    <row r="290">
      <c r="A290" t="str">
        <v>651-1002781</v>
      </c>
      <c r="B290" t="str">
        <v>תכנית מתאר להרחבת קיבוץ גבולות</v>
      </c>
      <c r="C290" t="str">
        <v>מחוזית</v>
      </c>
      <c r="D290" t="str">
        <v>אשכול,גבולות,נגב מערבי</v>
      </c>
      <c r="E290" t="str">
        <v>במילוי תנאים להפקדה</v>
      </c>
      <c r="F290" t="str">
        <v>כן</v>
      </c>
      <c r="G290" t="str">
        <v>כן</v>
      </c>
      <c r="H290" t="str">
        <v>כן</v>
      </c>
      <c r="I290">
        <f>=HYPERLINK("https://mavat.iplan.gov.il/SV4/1/6005156536/310")</f>
      </c>
    </row>
    <row r="291">
      <c r="A291" t="str">
        <v>214-0611590</v>
      </c>
      <c r="B291" t="str">
        <v>חוות נסיונות חקלאית-צמח</v>
      </c>
      <c r="C291" t="str">
        <v>מחוזית</v>
      </c>
      <c r="D291" t="str">
        <v>עמק הירדן</v>
      </c>
      <c r="E291" t="str">
        <v>במילוי תנאים להפקדה</v>
      </c>
      <c r="F291" t="str">
        <v>כן</v>
      </c>
      <c r="G291" t="str">
        <v>כן</v>
      </c>
      <c r="H291" t="str">
        <v>כן</v>
      </c>
      <c r="I291">
        <f>=HYPERLINK("https://mavat.iplan.gov.il/SV4/1/2000920549/310")</f>
      </c>
    </row>
    <row r="292">
      <c r="A292" t="str">
        <v>214-1127927</v>
      </c>
      <c r="B292" t="str">
        <v>פארק אדיסון-הסדרת כניסה</v>
      </c>
      <c r="C292" t="str">
        <v>מחוזית</v>
      </c>
      <c r="D292" t="str">
        <v>עמק הירדן</v>
      </c>
      <c r="E292" t="str">
        <v>במילוי תנאים להפקדה</v>
      </c>
      <c r="F292" t="str">
        <v>כן</v>
      </c>
      <c r="G292" t="str">
        <v>כן</v>
      </c>
      <c r="H292" t="str">
        <v>כן</v>
      </c>
      <c r="I292">
        <f>=HYPERLINK("https://mavat.iplan.gov.il/SV4/1/2005249050/310")</f>
      </c>
    </row>
    <row r="293">
      <c r="A293" t="str">
        <v>254-1360221</v>
      </c>
      <c r="B293" t="str">
        <v>קיבוץ משמר העמק- תכנית להרחבת מגורים</v>
      </c>
      <c r="C293" t="str">
        <v>מחוזית</v>
      </c>
      <c r="D293" t="str">
        <v>יזרעאלים,מגידו,משמר העמק</v>
      </c>
      <c r="E293" t="str">
        <v>במילוי תנאים להפקדה</v>
      </c>
      <c r="F293" t="str">
        <v>כן</v>
      </c>
      <c r="G293" t="str">
        <v>כן</v>
      </c>
      <c r="H293" t="str">
        <v>כן</v>
      </c>
      <c r="I293">
        <f>=HYPERLINK("https://mavat.iplan.gov.il/SV4/1/2005396346/310")</f>
      </c>
    </row>
    <row r="294">
      <c r="A294" t="str">
        <v>257-1403690</v>
      </c>
      <c r="B294" t="str">
        <v>שינוי ייעוד למגורים ומסחר הרחבת שכונת סעדיה בסמת טבעון ג/29156</v>
      </c>
      <c r="C294" t="str">
        <v>מחוזית</v>
      </c>
      <c r="D294" t="str">
        <v>בסמת טבעון,מבוא העמקים</v>
      </c>
      <c r="E294" t="str">
        <v>במילוי תנאים להפקדה</v>
      </c>
      <c r="F294" t="str">
        <v>כן</v>
      </c>
      <c r="G294" t="str">
        <v>כן</v>
      </c>
      <c r="H294" t="str">
        <v>כן</v>
      </c>
      <c r="I294">
        <f>=HYPERLINK("https://mavat.iplan.gov.il/SV4/1/2005422804/310")</f>
      </c>
    </row>
    <row r="295">
      <c r="A295" t="str">
        <v>409-1323518</v>
      </c>
      <c r="B295" t="str">
        <v>עח/12/25, בארותיים, קפלן, תוספת יח"ד והפרדת מגרשים מנחלה</v>
      </c>
      <c r="C295" t="str">
        <v>מחוזית</v>
      </c>
      <c r="D295" t="str">
        <v>בארותים,עמק חפר</v>
      </c>
      <c r="E295" t="str">
        <v>במילוי תנאים להפקדה</v>
      </c>
      <c r="F295" t="str">
        <v>כן</v>
      </c>
      <c r="G295" t="str">
        <v>כן</v>
      </c>
      <c r="H295" t="str">
        <v>כן</v>
      </c>
      <c r="I295">
        <f>=HYPERLINK("https://mavat.iplan.gov.il/SV4/1/4005373616/310")</f>
      </c>
    </row>
    <row r="296">
      <c r="A296" t="str">
        <v>יוש/ 525</v>
      </c>
      <c r="B296" t="str">
        <v>עשהאל, הקמת יישוב, מגורים, מבני ציבור ושצ"פ</v>
      </c>
      <c r="C296" t="str">
        <v>יו"ש -מועצת התכנון העליונה</v>
      </c>
      <c r="D296" t="str">
        <v>הר חברון,עשהאל</v>
      </c>
      <c r="E296" t="str">
        <v>במילוי תנאים להפקדה</v>
      </c>
      <c r="F296" t="str">
        <v>כן</v>
      </c>
      <c r="G296" t="str">
        <v>כן</v>
      </c>
      <c r="H296" t="str">
        <v>לא</v>
      </c>
      <c r="I296">
        <f>=HYPERLINK("https://mavat.iplan.gov.il/SV4/1/7005450476/310")</f>
      </c>
    </row>
    <row r="297">
      <c r="A297" t="str">
        <v>409-0634972</v>
      </c>
      <c r="B297" t="str">
        <v>עח/34/131  כפר ויתקין - תכנית מתאר לישוב</v>
      </c>
      <c r="C297" t="str">
        <v>מחוזית</v>
      </c>
      <c r="D297" t="str">
        <v>כפר ויתקין,עמק חפר</v>
      </c>
      <c r="E297" t="str">
        <v>במילוי תנאים להפקדה</v>
      </c>
      <c r="F297" t="str">
        <v>כן</v>
      </c>
      <c r="G297" t="str">
        <v>כן</v>
      </c>
      <c r="H297" t="str">
        <v>כן</v>
      </c>
      <c r="I297">
        <f>=HYPERLINK("https://mavat.iplan.gov.il/SV4/1/4000933193/310")</f>
      </c>
    </row>
    <row r="298">
      <c r="A298" t="str">
        <v>456-1129469</v>
      </c>
      <c r="B298" t="str">
        <v>קבוצת יבנה - תכנית מתאר - בר/5/244</v>
      </c>
      <c r="C298" t="str">
        <v>מחוזית</v>
      </c>
      <c r="D298" t="str">
        <v>חבל יבנה,קבוצת יבנה,שורקות</v>
      </c>
      <c r="E298" t="str">
        <v>במילוי תנאים להפקדה</v>
      </c>
      <c r="F298" t="str">
        <v>כן</v>
      </c>
      <c r="G298" t="str">
        <v>כן</v>
      </c>
      <c r="H298" t="str">
        <v>כן</v>
      </c>
      <c r="I298">
        <f>=HYPERLINK("https://mavat.iplan.gov.il/SV4/1/4005250258/310")</f>
      </c>
    </row>
    <row r="299">
      <c r="A299" t="str">
        <v>651-1332097</v>
      </c>
      <c r="B299" t="str">
        <v>יבול - הרחבת מתקן פוטו וולטאי</v>
      </c>
      <c r="C299" t="str">
        <v>מחוזית</v>
      </c>
      <c r="D299" t="str">
        <v>אשכול,יבול,נגב מערבי</v>
      </c>
      <c r="E299" t="str">
        <v>במילוי תנאים להפקדה</v>
      </c>
      <c r="F299" t="str">
        <v>כן</v>
      </c>
      <c r="G299" t="str">
        <v>כן</v>
      </c>
      <c r="H299" t="str">
        <v>כן</v>
      </c>
      <c r="I299">
        <f>=HYPERLINK("https://mavat.iplan.gov.il/SV4/1/6005379088/310")</f>
      </c>
    </row>
    <row r="300">
      <c r="A300" t="str">
        <v>201-1141340</v>
      </c>
      <c r="B300" t="str">
        <v>מלון - שבי ציון</v>
      </c>
      <c r="C300" t="str">
        <v>מחוזית</v>
      </c>
      <c r="D300" t="str">
        <v>חבל אשר</v>
      </c>
      <c r="E300" t="str">
        <v>במילוי תנאים להפקדה</v>
      </c>
      <c r="F300" t="str">
        <v>כן</v>
      </c>
      <c r="G300" t="str">
        <v>כן</v>
      </c>
      <c r="H300" t="str">
        <v>כן</v>
      </c>
      <c r="I300">
        <f>=HYPERLINK("https://mavat.iplan.gov.il/SV4/1/2005257958/310")</f>
      </c>
    </row>
    <row r="301">
      <c r="A301" t="str">
        <v>259-0656959</v>
      </c>
      <c r="B301" t="str">
        <v>רובע עירוני חדש בחצור הגלילית בסמוך לתחנת הרכבת</v>
      </c>
      <c r="C301" t="str">
        <v>מחוזית</v>
      </c>
      <c r="D301" t="str">
        <v>אצבע הגליל,חצור הגלילית,ראש פינה</v>
      </c>
      <c r="E301" t="str">
        <v>במילוי תנאים להפקדה</v>
      </c>
      <c r="F301" t="str">
        <v>כן</v>
      </c>
      <c r="G301" t="str">
        <v>כן</v>
      </c>
      <c r="H301" t="str">
        <v>כן</v>
      </c>
      <c r="I301">
        <f>=HYPERLINK("https://mavat.iplan.gov.il/SV4/1/2000946867/310")</f>
      </c>
    </row>
    <row r="302">
      <c r="A302" t="str">
        <v>456-0762492</v>
      </c>
      <c r="B302" t="str">
        <v>פארק תעסוקה ברנר, איחוד וחלוקה - תכנית מס' בר\394\1</v>
      </c>
      <c r="C302" t="str">
        <v>מחוזית</v>
      </c>
      <c r="D302" t="str">
        <v>ברנר,גבעת ברנר,שורקות</v>
      </c>
      <c r="E302" t="str">
        <v>במילוי תנאים להפקדה</v>
      </c>
      <c r="F302" t="str">
        <v>כן</v>
      </c>
      <c r="G302" t="str">
        <v>כן</v>
      </c>
      <c r="H302" t="str">
        <v>כן</v>
      </c>
      <c r="I302">
        <f>=HYPERLINK("https://mavat.iplan.gov.il/SV4/1/4001011159/310")</f>
      </c>
    </row>
    <row r="303">
      <c r="A303" t="str">
        <v>624-1263763</v>
      </c>
      <c r="B303" t="str">
        <v>שינוי ייעוד מקרקע חקלאית מס' 36C למגורים דרום מזרח יישוב אלסייד.</v>
      </c>
      <c r="C303" t="str">
        <v>מחוזית</v>
      </c>
      <c r="D303" t="str">
        <v>אבו בסמה,אל סייד,אל קסום</v>
      </c>
      <c r="E303" t="str">
        <v>במילוי תנאים להפקדה</v>
      </c>
      <c r="F303" t="str">
        <v>כן</v>
      </c>
      <c r="G303" t="str">
        <v>כן</v>
      </c>
      <c r="H303" t="str">
        <v>כן</v>
      </c>
      <c r="I303">
        <f>=HYPERLINK("https://mavat.iplan.gov.il/SV4/1/6005334782/310")</f>
      </c>
    </row>
    <row r="304">
      <c r="A304" t="str">
        <v>634-1068139</v>
      </c>
      <c r="B304" t="str">
        <v>מושב שדה משה - הרחבה והסדרת המושב</v>
      </c>
      <c r="C304" t="str">
        <v>מחוזית</v>
      </c>
      <c r="D304" t="str">
        <v>לכיש,שדה משה</v>
      </c>
      <c r="E304" t="str">
        <v>במילוי תנאים להפקדה</v>
      </c>
      <c r="F304" t="str">
        <v>כן</v>
      </c>
      <c r="G304" t="str">
        <v>כן</v>
      </c>
      <c r="H304" t="str">
        <v>כן</v>
      </c>
      <c r="I304">
        <f>=HYPERLINK("https://mavat.iplan.gov.il/SV4/1/6005212056/310")</f>
      </c>
    </row>
    <row r="305">
      <c r="A305" t="str">
        <v>211-1205970</v>
      </c>
      <c r="B305" t="str">
        <v>שינוי יעוד משטח מגורים לשטח מסחר ותעסוקה - ח'אלת אלדיר עוקף נצרת</v>
      </c>
      <c r="C305" t="str">
        <v>מחוזית</v>
      </c>
      <c r="D305" t="str">
        <v>נצרת</v>
      </c>
      <c r="E305" t="str">
        <v>במילוי תנאים להפקדה</v>
      </c>
      <c r="F305" t="str">
        <v>כן</v>
      </c>
      <c r="G305" t="str">
        <v>כן</v>
      </c>
      <c r="H305" t="str">
        <v>כן</v>
      </c>
      <c r="I305">
        <f>=HYPERLINK("https://mavat.iplan.gov.il/SV4/1/2005296620/310")</f>
      </c>
    </row>
    <row r="306">
      <c r="A306" t="str">
        <v>101-0890426</v>
      </c>
      <c r="B306" t="str">
        <v>מתחם מנחת הדסה, הר הצופים</v>
      </c>
      <c r="C306" t="str">
        <v>מחוזית</v>
      </c>
      <c r="D306" t="str">
        <v>ירושלים</v>
      </c>
      <c r="E306" t="str">
        <v>במילוי תנאים להפקדה</v>
      </c>
      <c r="F306" t="str">
        <v>כן</v>
      </c>
      <c r="G306" t="str">
        <v>כן</v>
      </c>
      <c r="H306" t="str">
        <v>כן</v>
      </c>
      <c r="I306">
        <f>=HYPERLINK("https://mavat.iplan.gov.il/SV4/1/1005088236/310")</f>
      </c>
    </row>
    <row r="307">
      <c r="A307" t="str">
        <v>101-1284223</v>
      </c>
      <c r="B307" t="str">
        <v>דרום מזרח גילה, ירושלים</v>
      </c>
      <c r="C307" t="str">
        <v>מחוזית</v>
      </c>
      <c r="D307" t="str">
        <v>ירושלים</v>
      </c>
      <c r="E307" t="str">
        <v>במילוי תנאים להפקדה</v>
      </c>
      <c r="F307" t="str">
        <v>כן</v>
      </c>
      <c r="G307" t="str">
        <v>כן</v>
      </c>
      <c r="H307" t="str">
        <v>כן</v>
      </c>
      <c r="I307">
        <f>=HYPERLINK("https://mavat.iplan.gov.il/SV4/1/1005347698/310")</f>
      </c>
    </row>
    <row r="308">
      <c r="A308" t="str">
        <v>151-1282110</v>
      </c>
      <c r="B308" t="str">
        <v>הקמת אכסון מלונאי, מוסד רפואי סיעודי ודיור מוגן, תעוז</v>
      </c>
      <c r="C308" t="str">
        <v>מחוזית</v>
      </c>
      <c r="D308" t="str">
        <v>מטה יהודה,תעוז</v>
      </c>
      <c r="E308" t="str">
        <v>במילוי תנאים להפקדה</v>
      </c>
      <c r="F308" t="str">
        <v>כן</v>
      </c>
      <c r="G308" t="str">
        <v>כן</v>
      </c>
      <c r="H308" t="str">
        <v>כן</v>
      </c>
      <c r="I308">
        <f>=HYPERLINK("https://mavat.iplan.gov.il/SV4/1/1005346194/310")</f>
      </c>
    </row>
    <row r="309">
      <c r="A309" t="str">
        <v>209-0708230</v>
      </c>
      <c r="B309" t="str">
        <v>שכונת מגורים מתחם 2 בעין אל אסד ג/ 28486</v>
      </c>
      <c r="C309" t="str">
        <v>מחוזית</v>
      </c>
      <c r="D309" t="str">
        <v>מרום הגליל,עין אל-אסד</v>
      </c>
      <c r="E309" t="str">
        <v>במילוי תנאים להפקדה</v>
      </c>
      <c r="F309" t="str">
        <v>כן</v>
      </c>
      <c r="G309" t="str">
        <v>כן</v>
      </c>
      <c r="H309" t="str">
        <v>כן</v>
      </c>
      <c r="I309">
        <f>=HYPERLINK("https://mavat.iplan.gov.il/SV4/1/2000977167/310")</f>
      </c>
    </row>
    <row r="310">
      <c r="A310" t="str">
        <v>209-1029354</v>
      </c>
      <c r="B310" t="str">
        <v>שכונת מגורים מתחם 3 בעין אל אסד ג/28487</v>
      </c>
      <c r="C310" t="str">
        <v>מחוזית</v>
      </c>
      <c r="D310" t="str">
        <v>בקעת בית הכרם,מרום הגליל,עין אל-אסד</v>
      </c>
      <c r="E310" t="str">
        <v>במילוי תנאים להפקדה</v>
      </c>
      <c r="F310" t="str">
        <v>כן</v>
      </c>
      <c r="G310" t="str">
        <v>כן</v>
      </c>
      <c r="H310" t="str">
        <v>כן</v>
      </c>
      <c r="I310">
        <f>=HYPERLINK("https://mavat.iplan.gov.il/SV4/1/2005189088/310")</f>
      </c>
    </row>
    <row r="311">
      <c r="A311" t="str">
        <v>252-1125350</v>
      </c>
      <c r="B311" t="str">
        <v>תכנון מפורט בחלק מערבי במתחם א-13 שכונה מערבית ירכא</v>
      </c>
      <c r="C311" t="str">
        <v>מחוזית</v>
      </c>
      <c r="D311" t="str">
        <v>הגליל המרכזי,ירכא</v>
      </c>
      <c r="E311" t="str">
        <v>במילוי תנאים להפקדה</v>
      </c>
      <c r="F311" t="str">
        <v>כן</v>
      </c>
      <c r="G311" t="str">
        <v>כן</v>
      </c>
      <c r="H311" t="str">
        <v>כן</v>
      </c>
      <c r="I311">
        <f>=HYPERLINK("https://mavat.iplan.gov.il/SV4/1/2005247462/310")</f>
      </c>
    </row>
    <row r="312">
      <c r="A312" t="str">
        <v>252-1316017</v>
      </c>
      <c r="B312" t="str">
        <v>מסחר ותעסוקה - כניסה לישוב ירכא</v>
      </c>
      <c r="C312" t="str">
        <v>מחוזית</v>
      </c>
      <c r="D312" t="str">
        <v>הגליל המרכזי,ירכא,כפר יאסיף</v>
      </c>
      <c r="E312" t="str">
        <v>במילוי תנאים להפקדה</v>
      </c>
      <c r="F312" t="str">
        <v>כן</v>
      </c>
      <c r="G312" t="str">
        <v>כן</v>
      </c>
      <c r="H312" t="str">
        <v>כן</v>
      </c>
      <c r="I312">
        <f>=HYPERLINK("https://mavat.iplan.gov.il/SV4/1/2005368792/310")</f>
      </c>
    </row>
    <row r="313">
      <c r="A313" t="str">
        <v>יוש/ 5/ 222</v>
      </c>
      <c r="B313" t="str">
        <v>פסגות שינוי יעוד הקרקע</v>
      </c>
      <c r="C313" t="str">
        <v>יו"ש -מועצת התכנון העליונה</v>
      </c>
      <c r="D313" t="str">
        <v>מטה בנימין,פסגות</v>
      </c>
      <c r="E313" t="str">
        <v>במילוי תנאים להפקדה</v>
      </c>
      <c r="F313" t="str">
        <v>כן</v>
      </c>
      <c r="G313" t="str">
        <v>כן</v>
      </c>
      <c r="H313" t="str">
        <v>לא</v>
      </c>
      <c r="I313">
        <f>=HYPERLINK("https://mavat.iplan.gov.il/SV4/1/7005389554/310")</f>
      </c>
    </row>
    <row r="314">
      <c r="A314" t="str">
        <v>251-0755595</v>
      </c>
      <c r="B314" t="str">
        <v>מתחם לתכנון מפורט שכונה דרומית - בועינה-נוג'ידאת</v>
      </c>
      <c r="C314" t="str">
        <v>מחוזית</v>
      </c>
      <c r="D314" t="str">
        <v>בועיינה-נוג'יידאת,הגליל המזרחי</v>
      </c>
      <c r="E314" t="str">
        <v>במילוי תנאים להפקדה</v>
      </c>
      <c r="F314" t="str">
        <v>כן</v>
      </c>
      <c r="G314" t="str">
        <v>כן</v>
      </c>
      <c r="H314" t="str">
        <v>כן</v>
      </c>
      <c r="I314">
        <f>=HYPERLINK("https://mavat.iplan.gov.il/SV4/1/2001006763/310")</f>
      </c>
    </row>
    <row r="315">
      <c r="A315" t="str">
        <v>יוש/ 2/ 4/ 426</v>
      </c>
      <c r="B315" t="str">
        <v>ביתר עילית, מסחר, תעשיה קלה</v>
      </c>
      <c r="C315" t="str">
        <v>יו"ש -מועצת התכנון העליונה</v>
      </c>
      <c r="D315" t="str">
        <v>ביתר עילית</v>
      </c>
      <c r="E315" t="str">
        <v>במילוי תנאים להפקדה</v>
      </c>
      <c r="F315" t="str">
        <v>כן</v>
      </c>
      <c r="G315" t="str">
        <v>כן</v>
      </c>
      <c r="H315" t="str">
        <v>לא</v>
      </c>
      <c r="I315">
        <f>=HYPERLINK("https://mavat.iplan.gov.il/SV4/1/7005303674/310")</f>
      </c>
    </row>
    <row r="316">
      <c r="A316" t="str">
        <v>101-1159920</v>
      </c>
      <c r="B316" t="str">
        <v>נופי רחל- שכונת מגורים, ירושלים</v>
      </c>
      <c r="C316" t="str">
        <v>מחוזית</v>
      </c>
      <c r="D316" t="str">
        <v>ירושלים</v>
      </c>
      <c r="E316" t="str">
        <v>במילוי תנאים להפקדה</v>
      </c>
      <c r="F316" t="str">
        <v>כן</v>
      </c>
      <c r="G316" t="str">
        <v>כן</v>
      </c>
      <c r="H316" t="str">
        <v>כן</v>
      </c>
      <c r="I316">
        <f>=HYPERLINK("https://mavat.iplan.gov.il/SV4/1/1005268748/310")</f>
      </c>
    </row>
    <row r="317">
      <c r="A317" t="str">
        <v>151-1365659</v>
      </c>
      <c r="B317" t="str">
        <v>שינוי יעוד קרקע והוראות תכנית,תוספת שימושים וזכויות בניה,מוצא עילית</v>
      </c>
      <c r="C317" t="str">
        <v>מחוזית</v>
      </c>
      <c r="D317" t="str">
        <v>מוצא עלית,מטה יהודה</v>
      </c>
      <c r="E317" t="str">
        <v>במילוי תנאים להפקדה</v>
      </c>
      <c r="F317" t="str">
        <v>כן</v>
      </c>
      <c r="G317" t="str">
        <v>כן</v>
      </c>
      <c r="H317" t="str">
        <v>כן</v>
      </c>
      <c r="I317">
        <f>=HYPERLINK("https://mavat.iplan.gov.il/SV4/1/1005399634/310")</f>
      </c>
    </row>
    <row r="318">
      <c r="A318" t="str">
        <v>651-1161868</v>
      </c>
      <c r="B318" t="str">
        <v>קיבוץ ברור חיל</v>
      </c>
      <c r="C318" t="str">
        <v>מחוזית</v>
      </c>
      <c r="D318" t="str">
        <v>ברור חיל,נגב מערבי,שער הנגב</v>
      </c>
      <c r="E318" t="str">
        <v>במילוי תנאים להפקדה</v>
      </c>
      <c r="F318" t="str">
        <v>כן</v>
      </c>
      <c r="G318" t="str">
        <v>כן</v>
      </c>
      <c r="H318" t="str">
        <v>כן</v>
      </c>
      <c r="I318">
        <f>=HYPERLINK("https://mavat.iplan.gov.il/SV4/1/6005269762/310")</f>
      </c>
    </row>
    <row r="319">
      <c r="A319" t="str">
        <v>101-1108364</v>
      </c>
      <c r="B319" t="str">
        <v>רחוב טהון 16-6 התחדשות עירונית ועירוב שימושים</v>
      </c>
      <c r="C319" t="str">
        <v>מחוזית</v>
      </c>
      <c r="D319" t="str">
        <v>ירושלים</v>
      </c>
      <c r="E319" t="str">
        <v>במילוי תנאים להפקדה</v>
      </c>
      <c r="F319" t="str">
        <v>כן</v>
      </c>
      <c r="G319" t="str">
        <v>כן</v>
      </c>
      <c r="H319" t="str">
        <v>כן</v>
      </c>
      <c r="I319">
        <f>=HYPERLINK("https://mavat.iplan.gov.il/SV4/1/1005236856/310")</f>
      </c>
    </row>
    <row r="320">
      <c r="A320" t="str">
        <v>יוש/ 2/ 9/ 235</v>
      </c>
      <c r="B320" t="str">
        <v>הרחבת היישוב, חרשה שלב ב'</v>
      </c>
      <c r="C320" t="str">
        <v>יו"ש -מועצת התכנון העליונה</v>
      </c>
      <c r="D320" t="str">
        <v>טלמון,מטה בנימין</v>
      </c>
      <c r="E320" t="str">
        <v>במילוי תנאים להפקדה</v>
      </c>
      <c r="F320" t="str">
        <v>כן</v>
      </c>
      <c r="G320" t="str">
        <v>כן</v>
      </c>
      <c r="H320" t="str">
        <v>לא</v>
      </c>
      <c r="I320">
        <f>=HYPERLINK("https://mavat.iplan.gov.il/SV4/1/7005192352/310")</f>
      </c>
    </row>
    <row r="321">
      <c r="A321" t="str">
        <v>101-0993907</v>
      </c>
      <c r="B321" t="str">
        <v>פינוי בינוי ברחובות אלקחי דרזנר ורזיאל , ארמון הנציב ירושלים</v>
      </c>
      <c r="C321" t="str">
        <v>מחוזית</v>
      </c>
      <c r="D321" t="str">
        <v>ירושלים</v>
      </c>
      <c r="E321" t="str">
        <v>במילוי תנאים להפקדה</v>
      </c>
      <c r="F321" t="str">
        <v>כן</v>
      </c>
      <c r="G321" t="str">
        <v>כן</v>
      </c>
      <c r="H321" t="str">
        <v>כן</v>
      </c>
      <c r="I321">
        <f>=HYPERLINK("https://mavat.iplan.gov.il/SV4/1/1005150996/310")</f>
      </c>
    </row>
    <row r="322">
      <c r="A322" t="str">
        <v>204-0853507</v>
      </c>
      <c r="B322" t="str">
        <v>תכנית ג\26507 טייבה בעמק - הרחבה מזרחית</v>
      </c>
      <c r="C322" t="str">
        <v>מחוזית</v>
      </c>
      <c r="D322" t="str">
        <v>הגילבוע,הגלבוע,טיבה(בעמק)</v>
      </c>
      <c r="E322" t="str">
        <v>במילוי תנאים להפקדה</v>
      </c>
      <c r="F322" t="str">
        <v>כן</v>
      </c>
      <c r="G322" t="str">
        <v>כן</v>
      </c>
      <c r="H322" t="str">
        <v>כן</v>
      </c>
      <c r="I322">
        <f>=HYPERLINK("https://mavat.iplan.gov.il/SV4/1/2005066656/310")</f>
      </c>
    </row>
    <row r="323">
      <c r="A323" t="str">
        <v>253-0903880</v>
      </c>
      <c r="B323" t="str">
        <v>רפטינג נהר הירדן ג/26223</v>
      </c>
      <c r="C323" t="str">
        <v>מחוזית</v>
      </c>
      <c r="D323" t="str">
        <v>הגליל העליון</v>
      </c>
      <c r="E323" t="str">
        <v>במילוי תנאים להפקדה</v>
      </c>
      <c r="F323" t="str">
        <v>כן</v>
      </c>
      <c r="G323" t="str">
        <v>כן</v>
      </c>
      <c r="H323" t="str">
        <v>כן</v>
      </c>
      <c r="I323">
        <f>=HYPERLINK("https://mavat.iplan.gov.il/SV4/1/2005096922/310")</f>
      </c>
    </row>
    <row r="324">
      <c r="A324" t="str">
        <v>426-0785816</v>
      </c>
      <c r="B324" t="str">
        <v>גז/מק/34/14 חולדה - תכנית שינויים באזור המגורים</v>
      </c>
      <c r="C324" t="str">
        <v>מקומית</v>
      </c>
      <c r="D324" t="str">
        <v>גזר,חולדה</v>
      </c>
      <c r="E324" t="str">
        <v>במילוי תנאים להפקדה</v>
      </c>
      <c r="F324" t="str">
        <v>כן</v>
      </c>
      <c r="G324" t="str">
        <v>כן</v>
      </c>
      <c r="H324" t="str">
        <v>כן</v>
      </c>
      <c r="I324">
        <f>=HYPERLINK("https://mavat.iplan.gov.il/SV4/1/4001026905/310")</f>
      </c>
    </row>
    <row r="325">
      <c r="A325" t="str">
        <v>651-1367069</v>
      </c>
      <c r="B325" t="str">
        <v>נחלה מס' 67 - מושב יכיני</v>
      </c>
      <c r="C325" t="str">
        <v>מחוזית</v>
      </c>
      <c r="D325" t="str">
        <v>יכיני,נגב מערבי,שער הנגב</v>
      </c>
      <c r="E325" t="str">
        <v>במילוי תנאים להפקדה</v>
      </c>
      <c r="F325" t="str">
        <v>כן</v>
      </c>
      <c r="G325" t="str">
        <v>כן</v>
      </c>
      <c r="H325" t="str">
        <v>כן</v>
      </c>
      <c r="I325">
        <f>=HYPERLINK("https://mavat.iplan.gov.il/SV4/1/6005400430/310")</f>
      </c>
    </row>
    <row r="326">
      <c r="A326" t="str">
        <v>251-0725531</v>
      </c>
      <c r="B326" t="str">
        <v>מע'אר - שכונת אל מארג'</v>
      </c>
      <c r="C326" t="str">
        <v>מחוזית</v>
      </c>
      <c r="D326" t="str">
        <v>הגליל המזרחי,מג'אר</v>
      </c>
      <c r="E326" t="str">
        <v>במילוי תנאים להפקדה</v>
      </c>
      <c r="F326" t="str">
        <v>כן</v>
      </c>
      <c r="G326" t="str">
        <v>כן</v>
      </c>
      <c r="H326" t="str">
        <v>כן</v>
      </c>
      <c r="I326">
        <f>=HYPERLINK("https://mavat.iplan.gov.il/SV4/1/2000988815/310")</f>
      </c>
    </row>
    <row r="327">
      <c r="A327" t="str">
        <v>201-1255918</v>
      </c>
      <c r="B327" t="str">
        <v>תחנת שאיבה שפרעם</v>
      </c>
      <c r="C327" t="str">
        <v>מחוזית</v>
      </c>
      <c r="D327" t="str">
        <v>חבל אשר,מטה אשר</v>
      </c>
      <c r="E327" t="str">
        <v>במילוי תנאים להפקדה</v>
      </c>
      <c r="F327" t="str">
        <v>כן</v>
      </c>
      <c r="G327" t="str">
        <v>כן</v>
      </c>
      <c r="H327" t="str">
        <v>כן</v>
      </c>
      <c r="I327">
        <f>=HYPERLINK("https://mavat.iplan.gov.il/SV4/1/2005330106/310")</f>
      </c>
    </row>
    <row r="328">
      <c r="A328" t="str">
        <v>221-1386903</v>
      </c>
      <c r="B328" t="str">
        <v>תחמ"ש יזרעאל - מגדל העמק דרום - ג/29034</v>
      </c>
      <c r="C328" t="str">
        <v>מחוזית</v>
      </c>
      <c r="D328" t="str">
        <v>מגדל העמק</v>
      </c>
      <c r="E328" t="str">
        <v>במילוי תנאים להפקדה</v>
      </c>
      <c r="F328" t="str">
        <v>כן</v>
      </c>
      <c r="G328" t="str">
        <v>כן</v>
      </c>
      <c r="H328" t="str">
        <v>כן</v>
      </c>
      <c r="I328">
        <f>=HYPERLINK("https://mavat.iplan.gov.il/SV4/1/2005412732/310")</f>
      </c>
    </row>
    <row r="329">
      <c r="A329" t="str">
        <v>409-0957605</v>
      </c>
      <c r="B329" t="str">
        <v>עח/8/18-תוספת יח"ד שלישית בנחלה והסדרת זכויות בניה- גן יאשיה</v>
      </c>
      <c r="C329" t="str">
        <v>מחוזית</v>
      </c>
      <c r="D329" t="str">
        <v>גן יאשיה,עמק חפר</v>
      </c>
      <c r="E329" t="str">
        <v>במילוי תנאים להפקדה</v>
      </c>
      <c r="F329" t="str">
        <v>כן</v>
      </c>
      <c r="G329" t="str">
        <v>כן</v>
      </c>
      <c r="H329" t="str">
        <v>כן</v>
      </c>
      <c r="I329">
        <f>=HYPERLINK("https://mavat.iplan.gov.il/SV4/1/4005129032/310")</f>
      </c>
    </row>
    <row r="330">
      <c r="A330" t="str">
        <v>417-1001551</v>
      </c>
      <c r="B330" t="str">
        <v>אזור תעשיה אקו פארק</v>
      </c>
      <c r="C330" t="str">
        <v>מחוזית</v>
      </c>
      <c r="D330" t="str">
        <v>דרום השרון</v>
      </c>
      <c r="E330" t="str">
        <v>במילוי תנאים להפקדה</v>
      </c>
      <c r="F330" t="str">
        <v>כן</v>
      </c>
      <c r="G330" t="str">
        <v>כן</v>
      </c>
      <c r="H330" t="str">
        <v>כן</v>
      </c>
      <c r="I330">
        <f>=HYPERLINK("https://mavat.iplan.gov.il/SV4/1/4005155732/310")</f>
      </c>
    </row>
    <row r="331">
      <c r="A331" t="str">
        <v>651-1312776</v>
      </c>
      <c r="B331" t="str">
        <v>מתקן פוטו וולטאי מגן 2</v>
      </c>
      <c r="C331" t="str">
        <v>מחוזית</v>
      </c>
      <c r="D331" t="str">
        <v>אשכול,מגן,נגב מערבי</v>
      </c>
      <c r="E331" t="str">
        <v>במילוי תנאים להפקדה</v>
      </c>
      <c r="F331" t="str">
        <v>כן</v>
      </c>
      <c r="G331" t="str">
        <v>כן</v>
      </c>
      <c r="H331" t="str">
        <v>כן</v>
      </c>
      <c r="I331">
        <f>=HYPERLINK("https://mavat.iplan.gov.il/SV4/1/6005366550/310")</f>
      </c>
    </row>
    <row r="332">
      <c r="A332" t="str">
        <v>651-1316660</v>
      </c>
      <c r="B332" t="str">
        <v>מתקן פוטו-וולטאי ארז (התקומה)</v>
      </c>
      <c r="C332" t="str">
        <v>מחוזית</v>
      </c>
      <c r="D332" t="str">
        <v>ארז,נגב מערבי,שער הנגב</v>
      </c>
      <c r="E332" t="str">
        <v>במילוי תנאים להפקדה</v>
      </c>
      <c r="F332" t="str">
        <v>כן</v>
      </c>
      <c r="G332" t="str">
        <v>כן</v>
      </c>
      <c r="H332" t="str">
        <v>כן</v>
      </c>
      <c r="I332">
        <f>=HYPERLINK("https://mavat.iplan.gov.il/SV4/1/6005369224/310")</f>
      </c>
    </row>
    <row r="333">
      <c r="A333" t="str">
        <v>651-1321744</v>
      </c>
      <c r="B333" t="str">
        <v>ניר יצחק - מתקן פוטו-וולטאי שני</v>
      </c>
      <c r="C333" t="str">
        <v>מחוזית</v>
      </c>
      <c r="D333" t="str">
        <v>אשכול,נגב מערבי,ניר יצחק</v>
      </c>
      <c r="E333" t="str">
        <v>במילוי תנאים להפקדה</v>
      </c>
      <c r="F333" t="str">
        <v>כן</v>
      </c>
      <c r="G333" t="str">
        <v>כן</v>
      </c>
      <c r="H333" t="str">
        <v>כן</v>
      </c>
      <c r="I333">
        <f>=HYPERLINK("https://mavat.iplan.gov.il/SV4/1/6005372602/310")</f>
      </c>
    </row>
    <row r="334">
      <c r="A334" t="str">
        <v>651-1331354</v>
      </c>
      <c r="B334" t="str">
        <v>עין השלושה - מתקן פוטו וולטאי שלישי</v>
      </c>
      <c r="C334" t="str">
        <v>מחוזית</v>
      </c>
      <c r="D334" t="str">
        <v>אשכול,נגב מערבי,עין השלשה</v>
      </c>
      <c r="E334" t="str">
        <v>במילוי תנאים להפקדה</v>
      </c>
      <c r="F334" t="str">
        <v>כן</v>
      </c>
      <c r="G334" t="str">
        <v>כן</v>
      </c>
      <c r="H334" t="str">
        <v>כן</v>
      </c>
      <c r="I334">
        <f>=HYPERLINK("https://mavat.iplan.gov.il/SV4/1/6005378504/310")</f>
      </c>
    </row>
    <row r="335">
      <c r="A335" t="str">
        <v>214-1031004</v>
      </c>
      <c r="B335" t="str">
        <v>פארק הירדן הרחבה ג/27396</v>
      </c>
      <c r="C335" t="str">
        <v>מחוזית</v>
      </c>
      <c r="D335" t="str">
        <v>עמק הירדן</v>
      </c>
      <c r="E335" t="str">
        <v>במילוי תנאים להפקדה</v>
      </c>
      <c r="F335" t="str">
        <v>כן</v>
      </c>
      <c r="G335" t="str">
        <v>כן</v>
      </c>
      <c r="H335" t="str">
        <v>כן</v>
      </c>
      <c r="I335">
        <f>=HYPERLINK("https://mavat.iplan.gov.il/SV4/1/2005190088/310")</f>
      </c>
    </row>
    <row r="336">
      <c r="A336" t="str">
        <v>407-1157635</v>
      </c>
      <c r="B336" t="str">
        <v>נס ציונה - מתחם ירושלים</v>
      </c>
      <c r="C336" t="str">
        <v>מחוזית</v>
      </c>
      <c r="D336" t="str">
        <v>נס ציונה</v>
      </c>
      <c r="E336" t="str">
        <v>במילוי תנאים להפקדה</v>
      </c>
      <c r="F336" t="str">
        <v>כן</v>
      </c>
      <c r="G336" t="str">
        <v>כן</v>
      </c>
      <c r="H336" t="str">
        <v>כן</v>
      </c>
      <c r="I336">
        <f>=HYPERLINK("https://mavat.iplan.gov.il/SV4/1/4005267422/310")</f>
      </c>
    </row>
    <row r="337">
      <c r="A337" t="str">
        <v>151-0824045</v>
      </c>
      <c r="B337" t="str">
        <v>תכנית כוללת למושב צפרירים</v>
      </c>
      <c r="C337" t="str">
        <v>מחוזית</v>
      </c>
      <c r="D337" t="str">
        <v>מטה יהודה</v>
      </c>
      <c r="E337" t="str">
        <v>במילוי תנאים להפקדה</v>
      </c>
      <c r="F337" t="str">
        <v>כן</v>
      </c>
      <c r="G337" t="str">
        <v>כן</v>
      </c>
      <c r="H337" t="str">
        <v>כן</v>
      </c>
      <c r="I337">
        <f>=HYPERLINK("https://mavat.iplan.gov.il/SV4/1/1005049108/310")</f>
      </c>
    </row>
    <row r="338">
      <c r="A338" t="str">
        <v>609-1341338</v>
      </c>
      <c r="B338" t="str">
        <v>פארק תעשייה נ.ע.מ. - שלב ה'</v>
      </c>
      <c r="C338" t="str">
        <v>מחוזית</v>
      </c>
      <c r="D338" t="str">
        <v>מרחבים,נגב מערבי,נתיבות</v>
      </c>
      <c r="E338" t="str">
        <v>במילוי תנאים להפקדה</v>
      </c>
      <c r="F338" t="str">
        <v>כן</v>
      </c>
      <c r="G338" t="str">
        <v>כן</v>
      </c>
      <c r="H338" t="str">
        <v>כן</v>
      </c>
      <c r="I338">
        <f>=HYPERLINK("https://mavat.iplan.gov.il/SV4/1/6005384276/310")</f>
      </c>
    </row>
    <row r="339">
      <c r="A339" t="str">
        <v>254-1237395</v>
      </c>
      <c r="B339" t="str">
        <v>פיצול מגרש מנחלה מס' 61 - בית לחם הגלילית ג/28508</v>
      </c>
      <c r="C339" t="str">
        <v>מחוזית</v>
      </c>
      <c r="D339" t="str">
        <v>בית לחם הגלילית,יזרעאלים,עמק יזרעאל</v>
      </c>
      <c r="E339" t="str">
        <v>במילוי תנאים להפקדה</v>
      </c>
      <c r="F339" t="str">
        <v>כן</v>
      </c>
      <c r="G339" t="str">
        <v>כן</v>
      </c>
      <c r="H339" t="str">
        <v>כן</v>
      </c>
      <c r="I339">
        <f>=HYPERLINK("https://mavat.iplan.gov.il/SV4/1/2005318512/310")</f>
      </c>
    </row>
    <row r="340">
      <c r="A340" t="str">
        <v>409-0916148</v>
      </c>
      <c r="B340" t="str">
        <v>עח/27/3, שושנת העמקים, תכנית מתאר מפורטת לישוב</v>
      </c>
      <c r="C340" t="str">
        <v>מחוזית</v>
      </c>
      <c r="D340" t="str">
        <v>עמק חפר,שושנת העמקים</v>
      </c>
      <c r="E340" t="str">
        <v>במילוי תנאים להפקדה</v>
      </c>
      <c r="F340" t="str">
        <v>כן</v>
      </c>
      <c r="G340" t="str">
        <v>כן</v>
      </c>
      <c r="H340" t="str">
        <v>כן</v>
      </c>
      <c r="I340">
        <f>=HYPERLINK("https://mavat.iplan.gov.il/SV4/1/4005103954/310")</f>
      </c>
    </row>
    <row r="341">
      <c r="A341" t="str">
        <v>426-0656314</v>
      </c>
      <c r="B341" t="str">
        <v>מושב משמר איילון</v>
      </c>
      <c r="C341" t="str">
        <v>מחוזית</v>
      </c>
      <c r="D341" t="str">
        <v>גזר,משמר אילון</v>
      </c>
      <c r="E341" t="str">
        <v>במילוי תנאים להפקדה</v>
      </c>
      <c r="F341" t="str">
        <v>כן</v>
      </c>
      <c r="G341" t="str">
        <v>כן</v>
      </c>
      <c r="H341" t="str">
        <v>כן</v>
      </c>
      <c r="I341">
        <f>=HYPERLINK("https://mavat.iplan.gov.il/SV4/1/4000946365/310")</f>
      </c>
    </row>
    <row r="342">
      <c r="A342" t="str">
        <v>501-1384916</v>
      </c>
      <c r="B342" t="str">
        <v>מתחם אם המושבות - המכבים בני ברק</v>
      </c>
      <c r="C342" t="str">
        <v>מחוזית</v>
      </c>
      <c r="D342" t="str">
        <v>בני ברק</v>
      </c>
      <c r="E342" t="str">
        <v>במילוי תנאים להפקדה</v>
      </c>
      <c r="F342" t="str">
        <v>כן</v>
      </c>
      <c r="G342" t="str">
        <v>כן</v>
      </c>
      <c r="H342" t="str">
        <v>כן</v>
      </c>
      <c r="I342">
        <f>=HYPERLINK("https://mavat.iplan.gov.il/SV4/1/5005411538/310")</f>
      </c>
    </row>
    <row r="343">
      <c r="A343" t="str">
        <v>508-1421031</v>
      </c>
      <c r="B343" t="str">
        <v>מגרש 88 - צומת סביון, קריית אונו</v>
      </c>
      <c r="C343" t="str">
        <v>מחוזית</v>
      </c>
      <c r="D343" t="str">
        <v>קרית אונו</v>
      </c>
      <c r="E343" t="str">
        <v>במילוי תנאים להפקדה</v>
      </c>
      <c r="F343" t="str">
        <v>כן</v>
      </c>
      <c r="G343" t="str">
        <v>כן</v>
      </c>
      <c r="H343" t="str">
        <v>כן</v>
      </c>
      <c r="I343">
        <f>=HYPERLINK("https://mavat.iplan.gov.il/SV4/1/5005433492/310")</f>
      </c>
    </row>
    <row r="344">
      <c r="A344" t="str">
        <v>252-1012491</v>
      </c>
      <c r="B344" t="str">
        <v>תכנון מפורט למתחם א-19 שכונה מערבית ירכא</v>
      </c>
      <c r="C344" t="str">
        <v>מחוזית</v>
      </c>
      <c r="D344" t="str">
        <v>אבו סנאן,הגליל המרכזי,ירכא</v>
      </c>
      <c r="E344" t="str">
        <v>במילוי תנאים להפקדה</v>
      </c>
      <c r="F344" t="str">
        <v>כן</v>
      </c>
      <c r="G344" t="str">
        <v>כן</v>
      </c>
      <c r="H344" t="str">
        <v>כן</v>
      </c>
      <c r="I344">
        <f>=HYPERLINK("https://mavat.iplan.gov.il/SV4/1/2005170824/310")</f>
      </c>
    </row>
    <row r="345">
      <c r="A345" t="str">
        <v>255-0894626</v>
      </c>
      <c r="B345" t="str">
        <v>הקמת שכונת מגורים - מתחם 4 סמיע</v>
      </c>
      <c r="C345" t="str">
        <v>מחוזית</v>
      </c>
      <c r="D345" t="str">
        <v>כסרא-סמיע,מעלה הגליל</v>
      </c>
      <c r="E345" t="str">
        <v>במילוי תנאים להפקדה</v>
      </c>
      <c r="F345" t="str">
        <v>כן</v>
      </c>
      <c r="G345" t="str">
        <v>כן</v>
      </c>
      <c r="H345" t="str">
        <v>כן</v>
      </c>
      <c r="I345">
        <f>=HYPERLINK("https://mavat.iplan.gov.il/SV4/1/2005091154/310")</f>
      </c>
    </row>
    <row r="346">
      <c r="A346" t="str">
        <v>303-1049048</v>
      </c>
      <c r="B346" t="str">
        <v>תוספת יחידת מגורים בנחלות - מושב צרופה</v>
      </c>
      <c r="C346" t="str">
        <v>מחוזית</v>
      </c>
      <c r="D346" t="str">
        <v>חוף הכרמל,צרופה</v>
      </c>
      <c r="E346" t="str">
        <v>במילוי תנאים להפקדה</v>
      </c>
      <c r="F346" t="str">
        <v>כן</v>
      </c>
      <c r="G346" t="str">
        <v>כן</v>
      </c>
      <c r="H346" t="str">
        <v>כן</v>
      </c>
      <c r="I346">
        <f>=HYPERLINK("https://mavat.iplan.gov.il/SV4/1/3005201264/310")</f>
      </c>
    </row>
    <row r="347">
      <c r="A347" t="str">
        <v>207-1238674</v>
      </c>
      <c r="B347" t="str">
        <v>כתף טבריה</v>
      </c>
      <c r="C347" t="str">
        <v>מחוזית</v>
      </c>
      <c r="D347" t="str">
        <v>טבריה</v>
      </c>
      <c r="E347" t="str">
        <v>במילוי תנאים להפקדה</v>
      </c>
      <c r="F347" t="str">
        <v>כן</v>
      </c>
      <c r="G347" t="str">
        <v>כן</v>
      </c>
      <c r="H347" t="str">
        <v>כן</v>
      </c>
      <c r="I347">
        <f>=HYPERLINK("https://mavat.iplan.gov.il/SV4/1/2005319270/310")</f>
      </c>
    </row>
    <row r="348">
      <c r="A348" t="str">
        <v>101-1246883</v>
      </c>
      <c r="B348" t="str">
        <v>מבני ציבור רחוב רינגלבלום, קריית יובל</v>
      </c>
      <c r="C348" t="str">
        <v>מחוזית</v>
      </c>
      <c r="D348" t="str">
        <v>ירושלים</v>
      </c>
      <c r="E348" t="str">
        <v>במילוי תנאים להפקדה</v>
      </c>
      <c r="F348" t="str">
        <v>כן</v>
      </c>
      <c r="G348" t="str">
        <v>כן</v>
      </c>
      <c r="H348" t="str">
        <v>כן</v>
      </c>
      <c r="I348">
        <f>=HYPERLINK("https://mavat.iplan.gov.il/SV4/1/1005324430/310")</f>
      </c>
    </row>
    <row r="349">
      <c r="A349" t="str">
        <v>456-1064393</v>
      </c>
      <c r="B349" t="str">
        <v>מושב גן הדרום תוספת יחידה שלישית בנחלות בר/16/166</v>
      </c>
      <c r="C349" t="str">
        <v>מחוזית</v>
      </c>
      <c r="D349" t="str">
        <v>גדרות,גן הדרום,גן יבנה,שורקות</v>
      </c>
      <c r="E349" t="str">
        <v>במילוי תנאים להפקדה</v>
      </c>
      <c r="F349" t="str">
        <v>כן</v>
      </c>
      <c r="G349" t="str">
        <v>כן</v>
      </c>
      <c r="H349" t="str">
        <v>כן</v>
      </c>
      <c r="I349">
        <f>=HYPERLINK("https://mavat.iplan.gov.il/SV4/1/4005209894/310")</f>
      </c>
    </row>
    <row r="350">
      <c r="A350" t="str">
        <v>יוש/ 46/ 1/ 220</v>
      </c>
      <c r="B350" t="str">
        <v>גבעת זאב, מג' 155 תוספת שטחי בניה, גשר גישה, שינוי גובה מבנה</v>
      </c>
      <c r="C350" t="str">
        <v>יו"ש -מועצת התכנון העליונה</v>
      </c>
      <c r="D350" t="str">
        <v>גבעת זאב</v>
      </c>
      <c r="E350" t="str">
        <v>במילוי תנאים להפקדה</v>
      </c>
      <c r="F350" t="str">
        <v>כן</v>
      </c>
      <c r="G350" t="str">
        <v>כן</v>
      </c>
      <c r="H350" t="str">
        <v>לא</v>
      </c>
      <c r="I350">
        <f>=HYPERLINK("https://mavat.iplan.gov.il/SV4/1/7005283342/310")</f>
      </c>
    </row>
    <row r="351">
      <c r="A351" t="str">
        <v>257-0903534</v>
      </c>
      <c r="B351" t="str">
        <v>מערכת ביוב אזורית ממט"ש כפר מנדא למט"ש שדה אילן</v>
      </c>
      <c r="C351" t="str">
        <v>מחוזית</v>
      </c>
      <c r="D351" t="str">
        <v>אילניה,אל בטוף,בועיינה-נוג'יידאת,גבעות אלונים,הגליל המזרחי,הגליל התחתון,טורעאן,יזרעאלים,כפר כנא,כפר מנדא,מבוא העמקים,משהד,עמק יזרעאל,רומת הייב,שדה אילן</v>
      </c>
      <c r="E351" t="str">
        <v>במילוי תנאים להפקדה</v>
      </c>
      <c r="F351" t="str">
        <v>כן</v>
      </c>
      <c r="G351" t="str">
        <v>כן</v>
      </c>
      <c r="H351" t="str">
        <v>כן</v>
      </c>
      <c r="I351">
        <f>=HYPERLINK("https://mavat.iplan.gov.il/SV4/1/2005096642/310")</f>
      </c>
    </row>
    <row r="352">
      <c r="A352" t="str">
        <v>455-1331164</v>
      </c>
      <c r="B352" t="str">
        <v>מתחם ג' - באר יעקב</v>
      </c>
      <c r="C352" t="str">
        <v>מחוזית</v>
      </c>
      <c r="D352" t="str">
        <v>באר יעקב,מצפה אפק</v>
      </c>
      <c r="E352" t="str">
        <v>במילוי תנאים להפקדה</v>
      </c>
      <c r="F352" t="str">
        <v>כן</v>
      </c>
      <c r="G352" t="str">
        <v>כן</v>
      </c>
      <c r="H352" t="str">
        <v>כן</v>
      </c>
      <c r="I352">
        <f>=HYPERLINK("https://mavat.iplan.gov.il/SV4/1/4005378402/310")</f>
      </c>
    </row>
    <row r="353">
      <c r="A353" t="str">
        <v>יוש/ 41/ 3/ 2/ 130</v>
      </c>
      <c r="B353" t="str">
        <v>אריאל, רה תכנון לשכונת מגורים</v>
      </c>
      <c r="C353" t="str">
        <v>יו"ש -מועצת התכנון העליונה</v>
      </c>
      <c r="D353" t="str">
        <v>אריאל</v>
      </c>
      <c r="E353" t="str">
        <v>במילוי תנאים להפקדה</v>
      </c>
      <c r="F353" t="str">
        <v>כן</v>
      </c>
      <c r="G353" t="str">
        <v>כן</v>
      </c>
      <c r="H353" t="str">
        <v>לא</v>
      </c>
      <c r="I353">
        <f>=HYPERLINK("https://mavat.iplan.gov.il/SV4/1/7005307504/310")</f>
      </c>
    </row>
    <row r="354">
      <c r="A354" t="str">
        <v>210-0888883</v>
      </c>
      <c r="B354" t="str">
        <v>התחדשות מתחם בן צבי-יחיעם, נהריה</v>
      </c>
      <c r="C354" t="str">
        <v>מחוזית</v>
      </c>
      <c r="D354" t="str">
        <v>נהריה</v>
      </c>
      <c r="E354" t="str">
        <v>במילוי תנאים להפקדה</v>
      </c>
      <c r="F354" t="str">
        <v>כן</v>
      </c>
      <c r="G354" t="str">
        <v>כן</v>
      </c>
      <c r="H354" t="str">
        <v>כן</v>
      </c>
      <c r="I354">
        <f>=HYPERLINK("https://mavat.iplan.gov.il/SV4/1/2005086886/310")</f>
      </c>
    </row>
    <row r="355">
      <c r="A355" t="str">
        <v>651-0922419</v>
      </c>
      <c r="B355" t="str">
        <v>מושב פדויים - הסדרה והרחבה</v>
      </c>
      <c r="C355" t="str">
        <v>מחוזית</v>
      </c>
      <c r="D355" t="str">
        <v>מרחבים,נגב מערבי,פדויים</v>
      </c>
      <c r="E355" t="str">
        <v>במילוי תנאים להפקדה</v>
      </c>
      <c r="F355" t="str">
        <v>כן</v>
      </c>
      <c r="G355" t="str">
        <v>כן</v>
      </c>
      <c r="H355" t="str">
        <v>כן</v>
      </c>
      <c r="I355">
        <f>=HYPERLINK("https://mavat.iplan.gov.il/SV4/1/6005107836/310")</f>
      </c>
    </row>
    <row r="356">
      <c r="A356" t="str">
        <v>256-1162932</v>
      </c>
      <c r="B356" t="str">
        <v>מתחם תיירותי ברכת רם - מסעדה ג/28795</v>
      </c>
      <c r="C356" t="str">
        <v>מחוזית</v>
      </c>
      <c r="D356" t="str">
        <v>מסעדה,מעלה חרמון</v>
      </c>
      <c r="E356" t="str">
        <v>במילוי תנאים להפקדה</v>
      </c>
      <c r="F356" t="str">
        <v>כן</v>
      </c>
      <c r="G356" t="str">
        <v>כן</v>
      </c>
      <c r="H356" t="str">
        <v>כן</v>
      </c>
      <c r="I356">
        <f>=HYPERLINK("https://mavat.iplan.gov.il/SV4/1/2005270476/310")</f>
      </c>
    </row>
    <row r="357">
      <c r="A357" t="str">
        <v>254-1200773</v>
      </c>
      <c r="B357" t="str">
        <v>איחוד וחלוקה ללא הסכמה מתחם 17 בזרזיר</v>
      </c>
      <c r="C357" t="str">
        <v>מחוזית</v>
      </c>
      <c r="D357" t="str">
        <v>זרזיר,יזרעאלים</v>
      </c>
      <c r="E357" t="str">
        <v>במילוי תנאים להפקדה</v>
      </c>
      <c r="F357" t="str">
        <v>כן</v>
      </c>
      <c r="G357" t="str">
        <v>כן</v>
      </c>
      <c r="H357" t="str">
        <v>כן</v>
      </c>
      <c r="I357">
        <f>=HYPERLINK("https://mavat.iplan.gov.il/SV4/1/2005293348/310")</f>
      </c>
    </row>
    <row r="358">
      <c r="A358" t="str">
        <v>411-0384875</v>
      </c>
      <c r="B358" t="str">
        <v>תכנית מתאר מקומית כוללנית ליהוד מונוסון</v>
      </c>
      <c r="C358" t="str">
        <v>מחוזית</v>
      </c>
      <c r="D358" t="str">
        <v>יהוד-מונוסון</v>
      </c>
      <c r="E358" t="str">
        <v>במילוי תנאים להפקדה</v>
      </c>
      <c r="F358" t="str">
        <v>כן</v>
      </c>
      <c r="G358" t="str">
        <v>כן</v>
      </c>
      <c r="H358" t="str">
        <v>כן</v>
      </c>
      <c r="I358">
        <f>=HYPERLINK("https://mavat.iplan.gov.il/SV4/1/4000393237/310")</f>
      </c>
    </row>
    <row r="359">
      <c r="A359" t="str">
        <v>417-1379916</v>
      </c>
      <c r="B359" t="str">
        <v>כוכב יאיר - שכונה מערבית</v>
      </c>
      <c r="C359" t="str">
        <v>מחוזית</v>
      </c>
      <c r="D359" t="str">
        <v>דרום השרון,מצפה אפק</v>
      </c>
      <c r="E359" t="str">
        <v>במילוי תנאים להפקדה</v>
      </c>
      <c r="F359" t="str">
        <v>כן</v>
      </c>
      <c r="G359" t="str">
        <v>כן</v>
      </c>
      <c r="H359" t="str">
        <v>כן</v>
      </c>
      <c r="I359">
        <f>=HYPERLINK("https://mavat.iplan.gov.il/SV4/1/4005408842/310")</f>
      </c>
    </row>
    <row r="360">
      <c r="A360" t="str">
        <v>224-1419662</v>
      </c>
      <c r="B360" t="str">
        <v>גשור</v>
      </c>
      <c r="C360" t="str">
        <v>מחוזית</v>
      </c>
      <c r="D360" t="str">
        <v>מרחב הגולן</v>
      </c>
      <c r="E360" t="str">
        <v>במילוי תנאים להפקדה</v>
      </c>
      <c r="F360" t="str">
        <v>כן</v>
      </c>
      <c r="G360" t="str">
        <v>כן</v>
      </c>
      <c r="H360" t="str">
        <v>כן</v>
      </c>
      <c r="I360">
        <f>=HYPERLINK("https://mavat.iplan.gov.il/SV4/1/2005432528/310")</f>
      </c>
    </row>
    <row r="361">
      <c r="A361" t="str">
        <v>224-1419654</v>
      </c>
      <c r="B361" t="str">
        <v>אפיק</v>
      </c>
      <c r="C361" t="str">
        <v>מחוזית</v>
      </c>
      <c r="D361" t="str">
        <v>מרחב הגולן</v>
      </c>
      <c r="E361" t="str">
        <v>במילוי תנאים להפקדה</v>
      </c>
      <c r="F361" t="str">
        <v>כן</v>
      </c>
      <c r="G361" t="str">
        <v>כן</v>
      </c>
      <c r="H361" t="str">
        <v>כן</v>
      </c>
      <c r="I361">
        <f>=HYPERLINK("https://mavat.iplan.gov.il/SV4/1/2005432526/310")</f>
      </c>
    </row>
    <row r="362">
      <c r="A362" t="str">
        <v>252-1254234</v>
      </c>
      <c r="B362" t="str">
        <v>כפר יאסיף מתחם 7</v>
      </c>
      <c r="C362" t="str">
        <v>מחוזית</v>
      </c>
      <c r="D362" t="str">
        <v>הגליל המרכזי,כפר יאסיף</v>
      </c>
      <c r="E362" t="str">
        <v>במילוי תנאים להפקדה</v>
      </c>
      <c r="F362" t="str">
        <v>כן</v>
      </c>
      <c r="G362" t="str">
        <v>כן</v>
      </c>
      <c r="H362" t="str">
        <v>כן</v>
      </c>
      <c r="I362">
        <f>=HYPERLINK("https://mavat.iplan.gov.il/SV4/1/2005328994/310")</f>
      </c>
    </row>
    <row r="363">
      <c r="A363" t="str">
        <v>252-1284975</v>
      </c>
      <c r="B363" t="str">
        <v>תכנית איחוד וחלוקה ללא הסכמה כפר יאסיף מתחם 11</v>
      </c>
      <c r="C363" t="str">
        <v>מחוזית</v>
      </c>
      <c r="D363" t="str">
        <v>הגליל המרכזי,כפר יאסיף</v>
      </c>
      <c r="E363" t="str">
        <v>במילוי תנאים להפקדה</v>
      </c>
      <c r="F363" t="str">
        <v>כן</v>
      </c>
      <c r="G363" t="str">
        <v>כן</v>
      </c>
      <c r="H363" t="str">
        <v>כן</v>
      </c>
      <c r="I363">
        <f>=HYPERLINK("https://mavat.iplan.gov.il/SV4/1/2005348128/310")</f>
      </c>
    </row>
    <row r="364">
      <c r="A364" t="str">
        <v>651-1024306</v>
      </c>
      <c r="B364" t="str">
        <v>קיבוץ גבים - הסדרה והרחבה</v>
      </c>
      <c r="C364" t="str">
        <v>מחוזית</v>
      </c>
      <c r="D364" t="str">
        <v>נגב מערבי,שער הנגב</v>
      </c>
      <c r="E364" t="str">
        <v>במילוי תנאים להפקדה</v>
      </c>
      <c r="F364" t="str">
        <v>כן</v>
      </c>
      <c r="G364" t="str">
        <v>כן</v>
      </c>
      <c r="H364" t="str">
        <v>כן</v>
      </c>
      <c r="I364">
        <f>=HYPERLINK("https://mavat.iplan.gov.il/SV4/1/6005185754/310")</f>
      </c>
    </row>
    <row r="365">
      <c r="A365" t="str">
        <v>204-1016757</v>
      </c>
      <c r="B365" t="str">
        <v>ג/28293 תכנית מתאר גבעת הקיבוצים עין חרוד איחוד עין חרוד מאוחד תל יוסף</v>
      </c>
      <c r="C365" t="str">
        <v>מחוזית</v>
      </c>
      <c r="D365" t="str">
        <v>הגילבוע,הגלבוע</v>
      </c>
      <c r="E365" t="str">
        <v>במילוי תנאים להפקדה</v>
      </c>
      <c r="F365" t="str">
        <v>כן</v>
      </c>
      <c r="G365" t="str">
        <v>כן</v>
      </c>
      <c r="H365" t="str">
        <v>כן</v>
      </c>
      <c r="I365">
        <f>=HYPERLINK("https://mavat.iplan.gov.il/SV4/1/2005181780/310")</f>
      </c>
    </row>
    <row r="366">
      <c r="A366" t="str">
        <v>204-1152529</v>
      </c>
      <c r="B366" t="str">
        <v>ג/28294 עין חרוד איחוד - שכונות מגורים חדשות</v>
      </c>
      <c r="C366" t="str">
        <v>מחוזית</v>
      </c>
      <c r="D366" t="str">
        <v>הגילבוע,הגלבוע,עין חרוד (אחוד)</v>
      </c>
      <c r="E366" t="str">
        <v>במילוי תנאים להפקדה</v>
      </c>
      <c r="F366" t="str">
        <v>כן</v>
      </c>
      <c r="G366" t="str">
        <v>כן</v>
      </c>
      <c r="H366" t="str">
        <v>כן</v>
      </c>
      <c r="I366">
        <f>=HYPERLINK("https://mavat.iplan.gov.il/SV4/1/2005264126/310")</f>
      </c>
    </row>
    <row r="367">
      <c r="A367" t="str">
        <v>204-1152537</v>
      </c>
      <c r="B367" t="str">
        <v>ג/28296  עין חרוד מאוחד - שכונות מגורים חדשות</v>
      </c>
      <c r="C367" t="str">
        <v>מחוזית</v>
      </c>
      <c r="D367" t="str">
        <v>הגילבוע,הגלבוע,עין חרוד (מאוחד)</v>
      </c>
      <c r="E367" t="str">
        <v>במילוי תנאים להפקדה</v>
      </c>
      <c r="F367" t="str">
        <v>כן</v>
      </c>
      <c r="G367" t="str">
        <v>כן</v>
      </c>
      <c r="H367" t="str">
        <v>כן</v>
      </c>
      <c r="I367">
        <f>=HYPERLINK("https://mavat.iplan.gov.il/SV4/1/2005264130/310")</f>
      </c>
    </row>
    <row r="368">
      <c r="A368" t="str">
        <v>204-1152545</v>
      </c>
      <c r="B368" t="str">
        <v>ג/28295 תל יוסף - שכונות מגורים חדשות</v>
      </c>
      <c r="C368" t="str">
        <v>מחוזית</v>
      </c>
      <c r="D368" t="str">
        <v>הגילבוע,הגלבוע,תל יוסף</v>
      </c>
      <c r="E368" t="str">
        <v>במילוי תנאים להפקדה</v>
      </c>
      <c r="F368" t="str">
        <v>כן</v>
      </c>
      <c r="G368" t="str">
        <v>כן</v>
      </c>
      <c r="H368" t="str">
        <v>כן</v>
      </c>
      <c r="I368">
        <f>=HYPERLINK("https://mavat.iplan.gov.il/SV4/1/2005264132/310")</f>
      </c>
    </row>
    <row r="369">
      <c r="A369" t="str">
        <v>101-1156850</v>
      </c>
      <c r="B369" t="str">
        <v>הסדרת זכויות למגרש 16 במתחם חינוך אבן דנן</v>
      </c>
      <c r="C369" t="str">
        <v>מחוזית</v>
      </c>
      <c r="D369" t="str">
        <v>ירושלים</v>
      </c>
      <c r="E369" t="str">
        <v>במילוי תנאים להפקדה</v>
      </c>
      <c r="F369" t="str">
        <v>כן</v>
      </c>
      <c r="G369" t="str">
        <v>כן</v>
      </c>
      <c r="H369" t="str">
        <v>כן</v>
      </c>
      <c r="I369">
        <f>=HYPERLINK("https://mavat.iplan.gov.il/SV4/1/1005266894/310")</f>
      </c>
    </row>
    <row r="370">
      <c r="A370" t="str">
        <v>651-1338342</v>
      </c>
      <c r="B370" t="str">
        <v>מתקן פוטו-וולטאי בתלמי אליהו</v>
      </c>
      <c r="C370" t="str">
        <v>מחוזית</v>
      </c>
      <c r="D370" t="str">
        <v>אשכול,נגב מערבי,תלמי אליהו</v>
      </c>
      <c r="E370" t="str">
        <v>במילוי תנאים להפקדה</v>
      </c>
      <c r="F370" t="str">
        <v>כן</v>
      </c>
      <c r="G370" t="str">
        <v>כן</v>
      </c>
      <c r="H370" t="str">
        <v>כן</v>
      </c>
      <c r="I370">
        <f>=HYPERLINK("https://mavat.iplan.gov.il/SV4/1/6005382410/310")</f>
      </c>
    </row>
    <row r="371">
      <c r="A371" t="str">
        <v>651-1350545</v>
      </c>
      <c r="B371" t="str">
        <v>קיבוץ חולית - הרחבת מתקן פוטו וולטאי (התקומה)</v>
      </c>
      <c r="C371" t="str">
        <v>מחוזית</v>
      </c>
      <c r="D371" t="str">
        <v>אשכול,חולית,נגב מערבי</v>
      </c>
      <c r="E371" t="str">
        <v>במילוי תנאים להפקדה</v>
      </c>
      <c r="F371" t="str">
        <v>כן</v>
      </c>
      <c r="G371" t="str">
        <v>כן</v>
      </c>
      <c r="H371" t="str">
        <v>כן</v>
      </c>
      <c r="I371">
        <f>=HYPERLINK("https://mavat.iplan.gov.il/SV4/1/6005389678/310")</f>
      </c>
    </row>
    <row r="372">
      <c r="A372" t="str">
        <v>611-1179506</v>
      </c>
      <c r="B372" t="str">
        <v>התחדשות עירונית במתחם הפלמ"ח, שדרות</v>
      </c>
      <c r="C372" t="str">
        <v>מחוזית</v>
      </c>
      <c r="D372" t="str">
        <v>שדרות</v>
      </c>
      <c r="E372" t="str">
        <v>במילוי תנאים להפקדה</v>
      </c>
      <c r="F372" t="str">
        <v>כן</v>
      </c>
      <c r="G372" t="str">
        <v>כן</v>
      </c>
      <c r="H372" t="str">
        <v>כן</v>
      </c>
      <c r="I372">
        <f>=HYPERLINK("https://mavat.iplan.gov.il/SV4/1/6005280582/310")</f>
      </c>
    </row>
    <row r="373">
      <c r="A373" t="str">
        <v>תמל/ 1106</v>
      </c>
      <c r="B373" t="str">
        <v>שכונת רבין מערב, אור יהודה</v>
      </c>
      <c r="C373" t="str">
        <v>ארצית</v>
      </c>
      <c r="D373" t="str">
        <v>אור יהודה</v>
      </c>
      <c r="E373" t="str">
        <v>במילוי תנאים להפקדה</v>
      </c>
      <c r="F373" t="str">
        <v>כן</v>
      </c>
      <c r="G373" t="str">
        <v>כן</v>
      </c>
      <c r="H373" t="str">
        <v>כן</v>
      </c>
      <c r="I373">
        <f>=HYPERLINK("https://mavat.iplan.gov.il/SV4/1/99005100222/310")</f>
      </c>
    </row>
    <row r="374">
      <c r="A374" t="str">
        <v>תמל/ 2030</v>
      </c>
      <c r="B374" t="str">
        <v>התחדשות עירונית שכונות דרומיות, אור יהודה</v>
      </c>
      <c r="C374" t="str">
        <v>ארצית</v>
      </c>
      <c r="D374" t="str">
        <v>אור יהודה</v>
      </c>
      <c r="E374" t="str">
        <v>במילוי תנאים להפקדה</v>
      </c>
      <c r="F374" t="str">
        <v>כן</v>
      </c>
      <c r="G374" t="str">
        <v>כן</v>
      </c>
      <c r="H374" t="str">
        <v>כן</v>
      </c>
      <c r="I374">
        <f>=HYPERLINK("https://mavat.iplan.gov.il/SV4/1/99005043958/310")</f>
      </c>
    </row>
    <row r="375">
      <c r="A375" t="str">
        <v>201-1174275</v>
      </c>
      <c r="B375" t="str">
        <v>ג/28410 -תכנית מתאר אחיהוד</v>
      </c>
      <c r="C375" t="str">
        <v>מחוזית</v>
      </c>
      <c r="D375" t="str">
        <v>אחיהוד,חבל אשר,מטה אשר</v>
      </c>
      <c r="E375" t="str">
        <v>במילוי תנאים להפקדה</v>
      </c>
      <c r="F375" t="str">
        <v>כן</v>
      </c>
      <c r="G375" t="str">
        <v>כן</v>
      </c>
      <c r="H375" t="str">
        <v>כן</v>
      </c>
      <c r="I375">
        <f>=HYPERLINK("https://mavat.iplan.gov.il/SV4/1/2005277208/310")</f>
      </c>
    </row>
    <row r="376">
      <c r="A376" t="str">
        <v>202-1243468</v>
      </c>
      <c r="B376" t="str">
        <v>אזור התעשייה עמק המעיינות - ג/28514</v>
      </c>
      <c r="C376" t="str">
        <v>מחוזית</v>
      </c>
      <c r="D376" t="str">
        <v>עמק המעיינות</v>
      </c>
      <c r="E376" t="str">
        <v>במילוי תנאים להפקדה</v>
      </c>
      <c r="F376" t="str">
        <v>כן</v>
      </c>
      <c r="G376" t="str">
        <v>כן</v>
      </c>
      <c r="H376" t="str">
        <v>כן</v>
      </c>
      <c r="I376">
        <f>=HYPERLINK("https://mavat.iplan.gov.il/SV4/1/2005322438/310")</f>
      </c>
    </row>
    <row r="377">
      <c r="A377" t="str">
        <v>101-1115484</v>
      </c>
      <c r="B377" t="str">
        <v>מתחם מבני חינוך וציבור בין רח' הורקניה וברנקי, גוננים, ירושלים</v>
      </c>
      <c r="C377" t="str">
        <v>מחוזית</v>
      </c>
      <c r="D377" t="str">
        <v>ירושלים</v>
      </c>
      <c r="E377" t="str">
        <v>במילוי תנאים להפקדה</v>
      </c>
      <c r="F377" t="str">
        <v>כן</v>
      </c>
      <c r="G377" t="str">
        <v>כן</v>
      </c>
      <c r="H377" t="str">
        <v>כן</v>
      </c>
      <c r="I377">
        <f>=HYPERLINK("https://mavat.iplan.gov.il/SV4/1/1005240934/310")</f>
      </c>
    </row>
    <row r="378">
      <c r="A378" t="str">
        <v>412-1307719</v>
      </c>
      <c r="B378" t="str">
        <v>עין שריד - דוידי, הקצאת מגרש מגורים</v>
      </c>
      <c r="C378" t="str">
        <v>מחוזית</v>
      </c>
      <c r="D378" t="str">
        <v>לב השרון,עין שריד</v>
      </c>
      <c r="E378" t="str">
        <v>במילוי תנאים להפקדה</v>
      </c>
      <c r="F378" t="str">
        <v>כן</v>
      </c>
      <c r="G378" t="str">
        <v>כן</v>
      </c>
      <c r="H378" t="str">
        <v>כן</v>
      </c>
      <c r="I378">
        <f>=HYPERLINK("https://mavat.iplan.gov.il/SV4/1/4005362986/310")</f>
      </c>
    </row>
    <row r="379">
      <c r="A379" t="str">
        <v>257-1184050</v>
      </c>
      <c r="B379" t="str">
        <v>רמת ישי - מתחם החאן</v>
      </c>
      <c r="C379" t="str">
        <v>מחוזית</v>
      </c>
      <c r="D379" t="str">
        <v>מבוא העמקים,רמת ישי</v>
      </c>
      <c r="E379" t="str">
        <v>במילוי תנאים להפקדה</v>
      </c>
      <c r="F379" t="str">
        <v>כן</v>
      </c>
      <c r="G379" t="str">
        <v>כן</v>
      </c>
      <c r="H379" t="str">
        <v>כן</v>
      </c>
      <c r="I379">
        <f>=HYPERLINK("https://mavat.iplan.gov.il/SV4/1/2005283544/310")</f>
      </c>
    </row>
    <row r="380">
      <c r="A380" t="str">
        <v>יוש/ 8/ 607</v>
      </c>
      <c r="B380" t="str">
        <v>מצפה שלם, 168 יח"ד</v>
      </c>
      <c r="C380" t="str">
        <v>יו"ש -מועצת התכנון העליונה</v>
      </c>
      <c r="D380" t="str">
        <v>מגילות,מגילות ים המלח,מצפה שלם</v>
      </c>
      <c r="E380" t="str">
        <v>במילוי תנאים להפקדה</v>
      </c>
      <c r="F380" t="str">
        <v>כן</v>
      </c>
      <c r="G380" t="str">
        <v>כן</v>
      </c>
      <c r="H380" t="str">
        <v>לא</v>
      </c>
      <c r="I380">
        <f>=HYPERLINK("https://mavat.iplan.gov.il/SV4/1/7005330012/310")</f>
      </c>
    </row>
    <row r="381">
      <c r="A381" t="str">
        <v>101-1212976</v>
      </c>
      <c r="B381" t="str">
        <v>ברמן - מתחם תעסוקה ומסחר על ציר הרק"ל</v>
      </c>
      <c r="C381" t="str">
        <v>מחוזית</v>
      </c>
      <c r="D381" t="str">
        <v>ירושלים</v>
      </c>
      <c r="E381" t="str">
        <v>במילוי תנאים להפקדה</v>
      </c>
      <c r="F381" t="str">
        <v>כן</v>
      </c>
      <c r="G381" t="str">
        <v>כן</v>
      </c>
      <c r="H381" t="str">
        <v>כן</v>
      </c>
      <c r="I381">
        <f>=HYPERLINK("https://mavat.iplan.gov.il/SV4/1/1005302622/310")</f>
      </c>
    </row>
    <row r="382">
      <c r="A382" t="str">
        <v>101-1214279</v>
      </c>
      <c r="B382" t="str">
        <v>מתחם הגימנסיה העברית</v>
      </c>
      <c r="C382" t="str">
        <v>מחוזית</v>
      </c>
      <c r="D382" t="str">
        <v>ירושלים</v>
      </c>
      <c r="E382" t="str">
        <v>במילוי תנאים להפקדה</v>
      </c>
      <c r="F382" t="str">
        <v>כן</v>
      </c>
      <c r="G382" t="str">
        <v>כן</v>
      </c>
      <c r="H382" t="str">
        <v>כן</v>
      </c>
      <c r="I382">
        <f>=HYPERLINK("https://mavat.iplan.gov.il/SV4/1/1005303784/310")</f>
      </c>
    </row>
    <row r="383">
      <c r="A383" t="str">
        <v>101-1236579</v>
      </c>
      <c r="B383" t="str">
        <v>מתחם גוננים</v>
      </c>
      <c r="C383" t="str">
        <v>מחוזית</v>
      </c>
      <c r="D383" t="str">
        <v>ירושלים</v>
      </c>
      <c r="E383" t="str">
        <v>במילוי תנאים להפקדה</v>
      </c>
      <c r="F383" t="str">
        <v>כן</v>
      </c>
      <c r="G383" t="str">
        <v>כן</v>
      </c>
      <c r="H383" t="str">
        <v>כן</v>
      </c>
      <c r="I383">
        <f>=HYPERLINK("https://mavat.iplan.gov.il/SV4/1/1005317984/310")</f>
      </c>
    </row>
    <row r="384">
      <c r="A384" t="str">
        <v>456-0605154</v>
      </c>
      <c r="B384" t="str">
        <v>שמורת טבע ביצת השורק</v>
      </c>
      <c r="C384" t="str">
        <v>מחוזית</v>
      </c>
      <c r="D384" t="str">
        <v>גלילית מחוז המרכז,גן רוה,שורקות</v>
      </c>
      <c r="E384" t="str">
        <v>במילוי תנאים להפקדה</v>
      </c>
      <c r="F384" t="str">
        <v>כן</v>
      </c>
      <c r="G384" t="str">
        <v>כן</v>
      </c>
      <c r="H384" t="str">
        <v>כן</v>
      </c>
      <c r="I384">
        <f>=HYPERLINK("https://mavat.iplan.gov.il/SV4/1/4000917201/310")</f>
      </c>
    </row>
    <row r="385">
      <c r="A385" t="str">
        <v>462-1198688</v>
      </c>
      <c r="B385" t="str">
        <v>מבני משק-גן יבנה מערב</v>
      </c>
      <c r="C385" t="str">
        <v>מחוזית</v>
      </c>
      <c r="D385" t="str">
        <v>גן יבנה</v>
      </c>
      <c r="E385" t="str">
        <v>במילוי תנאים להפקדה</v>
      </c>
      <c r="F385" t="str">
        <v>כן</v>
      </c>
      <c r="G385" t="str">
        <v>כן</v>
      </c>
      <c r="H385" t="str">
        <v>כן</v>
      </c>
      <c r="I385">
        <f>=HYPERLINK("https://mavat.iplan.gov.il/SV4/1/4005292122/310")</f>
      </c>
    </row>
    <row r="386">
      <c r="A386" t="str">
        <v>303-1052513</v>
      </c>
      <c r="B386" t="str">
        <v>מתחם קהילתי חוף הכרמל</v>
      </c>
      <c r="C386" t="str">
        <v>מחוזית</v>
      </c>
      <c r="D386" t="str">
        <v>חוף הכרמל</v>
      </c>
      <c r="E386" t="str">
        <v>במילוי תנאים להפקדה</v>
      </c>
      <c r="F386" t="str">
        <v>כן</v>
      </c>
      <c r="G386" t="str">
        <v>כן</v>
      </c>
      <c r="H386" t="str">
        <v>כן</v>
      </c>
      <c r="I386">
        <f>=HYPERLINK("https://mavat.iplan.gov.il/SV4/1/3005202814/310")</f>
      </c>
    </row>
    <row r="387">
      <c r="A387" t="str">
        <v>יוש/ 4/ 517</v>
      </c>
      <c r="B387" t="str">
        <v>בית חגי, גבעת כחלילי</v>
      </c>
      <c r="C387" t="str">
        <v>יו"ש -מועצת התכנון העליונה</v>
      </c>
      <c r="D387" t="str">
        <v>הר חברון,חגי</v>
      </c>
      <c r="E387" t="str">
        <v>במילוי תנאים להפקדה</v>
      </c>
      <c r="F387" t="str">
        <v>כן</v>
      </c>
      <c r="G387" t="str">
        <v>כן</v>
      </c>
      <c r="H387" t="str">
        <v>לא</v>
      </c>
      <c r="I387">
        <f>=HYPERLINK("https://mavat.iplan.gov.il/SV4/1/7005360842/310")</f>
      </c>
    </row>
    <row r="388">
      <c r="A388" t="str">
        <v>יוש/ 6/ 3/ 163</v>
      </c>
      <c r="B388" t="str">
        <v>איתמר, הרחבת שכונת מגורים</v>
      </c>
      <c r="C388" t="str">
        <v>יו"ש -מועצת התכנון העליונה</v>
      </c>
      <c r="D388" t="str">
        <v>איתמר,שומרון</v>
      </c>
      <c r="E388" t="str">
        <v>במילוי תנאים להפקדה</v>
      </c>
      <c r="F388" t="str">
        <v>כן</v>
      </c>
      <c r="G388" t="str">
        <v>כן</v>
      </c>
      <c r="H388" t="str">
        <v>לא</v>
      </c>
      <c r="I388">
        <f>=HYPERLINK("https://mavat.iplan.gov.il/SV4/1/7005309332/310")</f>
      </c>
    </row>
    <row r="389">
      <c r="A389" t="str">
        <v>101-1082809</v>
      </c>
      <c r="B389" t="str">
        <v>צביה ויצחק 800- התחדשות עירונית, גילה</v>
      </c>
      <c r="C389" t="str">
        <v>מחוזית</v>
      </c>
      <c r="D389" t="str">
        <v>ירושלים</v>
      </c>
      <c r="E389" t="str">
        <v>במילוי תנאים להפקדה</v>
      </c>
      <c r="F389" t="str">
        <v>כן</v>
      </c>
      <c r="G389" t="str">
        <v>כן</v>
      </c>
      <c r="H389" t="str">
        <v>כן</v>
      </c>
      <c r="I389">
        <f>=HYPERLINK("https://mavat.iplan.gov.il/SV4/1/1005221118/310")</f>
      </c>
    </row>
    <row r="390">
      <c r="A390" t="str">
        <v>354-1366822</v>
      </c>
      <c r="B390" t="str">
        <v>תגבור זכויות בניה בתא שטח 102 חלקה 56 גוש 20413 - אום אל פחם</v>
      </c>
      <c r="C390" t="str">
        <v>מחוזית</v>
      </c>
      <c r="D390" t="str">
        <v>אום אל-פחם,עירון</v>
      </c>
      <c r="E390" t="str">
        <v>במילוי תנאים להפקדה</v>
      </c>
      <c r="F390" t="str">
        <v>כן</v>
      </c>
      <c r="G390" t="str">
        <v>כן</v>
      </c>
      <c r="H390" t="str">
        <v>כן</v>
      </c>
      <c r="I390">
        <f>=HYPERLINK("https://mavat.iplan.gov.il/SV4/1/3005400348/310")</f>
      </c>
    </row>
    <row r="391">
      <c r="A391" t="str">
        <v>214-0817007</v>
      </c>
      <c r="B391" t="str">
        <v>תל קציר-הרחבת הישוב ג/ 27901</v>
      </c>
      <c r="C391" t="str">
        <v>מחוזית</v>
      </c>
      <c r="D391" t="str">
        <v>עמק הירדן,תל קציר</v>
      </c>
      <c r="E391" t="str">
        <v>במילוי תנאים להפקדה</v>
      </c>
      <c r="F391" t="str">
        <v>כן</v>
      </c>
      <c r="G391" t="str">
        <v>כן</v>
      </c>
      <c r="H391" t="str">
        <v>כן</v>
      </c>
      <c r="I391">
        <f>=HYPERLINK("https://mavat.iplan.gov.il/SV4/1/2005045128/310")</f>
      </c>
    </row>
    <row r="392">
      <c r="A392" t="str">
        <v>254-0487934</v>
      </c>
      <c r="B392" t="str">
        <v>נווה יער- מרכז מחקר חקלאי</v>
      </c>
      <c r="C392" t="str">
        <v>מחוזית</v>
      </c>
      <c r="D392" t="str">
        <v>יזרעאלים,מבוא העמקים,עמק יזרעאל,רמת ישי</v>
      </c>
      <c r="E392" t="str">
        <v>במילוי תנאים להפקדה</v>
      </c>
      <c r="F392" t="str">
        <v>כן</v>
      </c>
      <c r="G392" t="str">
        <v>כן</v>
      </c>
      <c r="H392" t="str">
        <v>כן</v>
      </c>
      <c r="I392">
        <f>=HYPERLINK("https://mavat.iplan.gov.il/SV4/1/2000607055/310")</f>
      </c>
    </row>
    <row r="393">
      <c r="A393" t="str">
        <v>355-1171222</v>
      </c>
      <c r="B393" t="str">
        <v>התחדשות עירונית במתחם ויצמן ז'בוטינסקי טירת הכרמל</v>
      </c>
      <c r="C393" t="str">
        <v>מחוזית</v>
      </c>
      <c r="D393" t="str">
        <v>טירת כרמל,מורדות הכרמל</v>
      </c>
      <c r="E393" t="str">
        <v>במילוי תנאים להפקדה</v>
      </c>
      <c r="F393" t="str">
        <v>כן</v>
      </c>
      <c r="G393" t="str">
        <v>כן</v>
      </c>
      <c r="H393" t="str">
        <v>כן</v>
      </c>
      <c r="I393">
        <f>=HYPERLINK("https://mavat.iplan.gov.il/SV4/1/3005275564/310")</f>
      </c>
    </row>
    <row r="394">
      <c r="A394" t="str">
        <v>651-1312784</v>
      </c>
      <c r="B394" t="str">
        <v>מתקן פוטו וולטאי לקיבוץ נירים (התקומה)</v>
      </c>
      <c r="C394" t="str">
        <v>מחוזית</v>
      </c>
      <c r="D394" t="str">
        <v>אשכול,נגב מערבי,נירים</v>
      </c>
      <c r="E394" t="str">
        <v>במילוי תנאים להפקדה</v>
      </c>
      <c r="F394" t="str">
        <v>כן</v>
      </c>
      <c r="G394" t="str">
        <v>כן</v>
      </c>
      <c r="H394" t="str">
        <v>כן</v>
      </c>
      <c r="I394">
        <f>=HYPERLINK("https://mavat.iplan.gov.il/SV4/1/6005366556/310")</f>
      </c>
    </row>
    <row r="395">
      <c r="A395" t="str">
        <v>יוש/ 2/ 12/ 235</v>
      </c>
      <c r="B395" t="str">
        <v>טלמון, הרחבת היישוב</v>
      </c>
      <c r="C395" t="str">
        <v>יו"ש -מועצת התכנון העליונה</v>
      </c>
      <c r="D395" t="str">
        <v>טלמון,מטה בנימין</v>
      </c>
      <c r="E395" t="str">
        <v>במילוי תנאים להפקדה</v>
      </c>
      <c r="F395" t="str">
        <v>כן</v>
      </c>
      <c r="G395" t="str">
        <v>כן</v>
      </c>
      <c r="H395" t="str">
        <v>לא</v>
      </c>
      <c r="I395">
        <f>=HYPERLINK("https://mavat.iplan.gov.il/SV4/1/7005340968/310")</f>
      </c>
    </row>
    <row r="396">
      <c r="A396" t="str">
        <v>413-1243294</v>
      </c>
      <c r="B396" t="str">
        <v>רצ/ 150/ 26 מתחם כביש עוקף חושן, נרקיסים, ראשל"צ</v>
      </c>
      <c r="C396" t="str">
        <v>מחוזית</v>
      </c>
      <c r="D396" t="str">
        <v>ראשון לציון</v>
      </c>
      <c r="E396" t="str">
        <v>במילוי תנאים להפקדה</v>
      </c>
      <c r="F396" t="str">
        <v>כן</v>
      </c>
      <c r="G396" t="str">
        <v>כן</v>
      </c>
      <c r="H396" t="str">
        <v>כן</v>
      </c>
      <c r="I396">
        <f>=HYPERLINK("https://mavat.iplan.gov.il/SV4/1/4005322382/310")</f>
      </c>
    </row>
    <row r="397">
      <c r="A397" t="str">
        <v>יוש/ 16/ 5/ ת/ 130</v>
      </c>
      <c r="B397" t="str">
        <v>אזור תעשיה ברקן, שינוי ייעודי קרקע</v>
      </c>
      <c r="C397" t="str">
        <v>יו"ש -מועצת התכנון העליונה</v>
      </c>
      <c r="D397" t="str">
        <v>ברקן,שומרון</v>
      </c>
      <c r="E397" t="str">
        <v>במילוי תנאים להפקדה</v>
      </c>
      <c r="F397" t="str">
        <v>כן</v>
      </c>
      <c r="G397" t="str">
        <v>כן</v>
      </c>
      <c r="H397" t="str">
        <v>לא</v>
      </c>
      <c r="I397">
        <f>=HYPERLINK("https://mavat.iplan.gov.il/SV4/1/7005248418/310")</f>
      </c>
    </row>
    <row r="398">
      <c r="A398" t="str">
        <v>224-1421296</v>
      </c>
      <c r="B398" t="str">
        <v>אבנ"י אית"ן - שינויים במערך המגורים</v>
      </c>
      <c r="C398" t="str">
        <v>מחוזית</v>
      </c>
      <c r="D398" t="str">
        <v>גולן</v>
      </c>
      <c r="E398" t="str">
        <v>במילוי תנאים להפקדה</v>
      </c>
      <c r="F398" t="str">
        <v>כן</v>
      </c>
      <c r="G398" t="str">
        <v>כן</v>
      </c>
      <c r="H398" t="str">
        <v>כן</v>
      </c>
      <c r="I398">
        <f>=HYPERLINK("https://mavat.iplan.gov.il/SV4/1/2005433656/310")</f>
      </c>
    </row>
    <row r="399">
      <c r="A399" t="str">
        <v>401-0785857</v>
      </c>
      <c r="B399" t="str">
        <v>תוספת יח"ד שלישית במושבי המועצה האזורית חוף השרון</v>
      </c>
      <c r="C399" t="str">
        <v>מחוזית</v>
      </c>
      <c r="D399" t="str">
        <v>אודים,בית יהושע,בני ציון,בצרה,חוף השרון,כפר נטר,רשפון</v>
      </c>
      <c r="E399" t="str">
        <v>במילוי תנאים להפקדה</v>
      </c>
      <c r="F399" t="str">
        <v>כן</v>
      </c>
      <c r="G399" t="str">
        <v>כן</v>
      </c>
      <c r="H399" t="str">
        <v>כן</v>
      </c>
      <c r="I399">
        <f>=HYPERLINK("https://mavat.iplan.gov.il/SV4/1/4001026929/310")</f>
      </c>
    </row>
    <row r="400">
      <c r="A400" t="str">
        <v>260-1311000</v>
      </c>
      <c r="B400" t="str">
        <v>אזור תעשייה ראמה</v>
      </c>
      <c r="C400" t="str">
        <v>מחוזית</v>
      </c>
      <c r="D400" t="str">
        <v>בקעת בית הכרם,ראמה</v>
      </c>
      <c r="E400" t="str">
        <v>במילוי תנאים להפקדה</v>
      </c>
      <c r="F400" t="str">
        <v>כן</v>
      </c>
      <c r="G400" t="str">
        <v>כן</v>
      </c>
      <c r="H400" t="str">
        <v>כן</v>
      </c>
      <c r="I400">
        <f>=HYPERLINK("https://mavat.iplan.gov.il/SV4/1/2005365398/310")</f>
      </c>
    </row>
    <row r="401">
      <c r="A401" t="str">
        <v>207-1013481</v>
      </c>
      <c r="B401" t="str">
        <v>ג/ 27229 חמי טבריה הצעירה-הסדרת מצב קיים</v>
      </c>
      <c r="C401" t="str">
        <v>מחוזית</v>
      </c>
      <c r="D401" t="str">
        <v>טבריה</v>
      </c>
      <c r="E401" t="str">
        <v>במילוי תנאים להפקדה</v>
      </c>
      <c r="F401" t="str">
        <v>כן</v>
      </c>
      <c r="G401" t="str">
        <v>כן</v>
      </c>
      <c r="H401" t="str">
        <v>כן</v>
      </c>
      <c r="I401">
        <f>=HYPERLINK("https://mavat.iplan.gov.il/SV4/1/2005177226/310")</f>
      </c>
    </row>
    <row r="402">
      <c r="A402" t="str">
        <v>351-1182427</v>
      </c>
      <c r="B402" t="str">
        <v>אזור תעסוקה ומסחר כפר קרע</v>
      </c>
      <c r="C402" t="str">
        <v>מחוזית</v>
      </c>
      <c r="D402" t="str">
        <v>כפר קרע,עירון</v>
      </c>
      <c r="E402" t="str">
        <v>במילוי תנאים להפקדה</v>
      </c>
      <c r="F402" t="str">
        <v>כן</v>
      </c>
      <c r="G402" t="str">
        <v>כן</v>
      </c>
      <c r="H402" t="str">
        <v>כן</v>
      </c>
      <c r="I402">
        <f>=HYPERLINK("https://mavat.iplan.gov.il/SV4/1/3005282592/310")</f>
      </c>
    </row>
    <row r="403">
      <c r="A403" t="str">
        <v>255-1081298</v>
      </c>
      <c r="B403" t="str">
        <v>מושב נטועה-הרחבה</v>
      </c>
      <c r="C403" t="str">
        <v>מחוזית</v>
      </c>
      <c r="D403" t="str">
        <v>מעלה הגליל,מעלה יוסף,נטועה</v>
      </c>
      <c r="E403" t="str">
        <v>במילוי תנאים להפקדה</v>
      </c>
      <c r="F403" t="str">
        <v>כן</v>
      </c>
      <c r="G403" t="str">
        <v>כן</v>
      </c>
      <c r="H403" t="str">
        <v>כן</v>
      </c>
      <c r="I403">
        <f>=HYPERLINK("https://mavat.iplan.gov.il/SV4/1/2005220372/310")</f>
      </c>
    </row>
    <row r="404">
      <c r="A404" t="str">
        <v>652-0953877</v>
      </c>
      <c r="B404" t="str">
        <v>כסייפה - שכונה 22</v>
      </c>
      <c r="C404" t="str">
        <v>מחוזית</v>
      </c>
      <c r="D404" t="str">
        <v>כסייפה,נגב מזרחי</v>
      </c>
      <c r="E404" t="str">
        <v>במילוי תנאים להפקדה</v>
      </c>
      <c r="F404" t="str">
        <v>כן</v>
      </c>
      <c r="G404" t="str">
        <v>כן</v>
      </c>
      <c r="H404" t="str">
        <v>כן</v>
      </c>
      <c r="I404">
        <f>=HYPERLINK("https://mavat.iplan.gov.il/SV4/1/6005126624/310")</f>
      </c>
    </row>
    <row r="405">
      <c r="A405" t="str">
        <v>יוש/ 7/ 242</v>
      </c>
      <c r="B405" t="str">
        <v>כוכב יעקב, שכונת מגורים</v>
      </c>
      <c r="C405" t="str">
        <v>יו"ש -מועצת התכנון העליונה</v>
      </c>
      <c r="D405" t="str">
        <v>כוכב יעקב,מטה בנימין</v>
      </c>
      <c r="E405" t="str">
        <v>במילוי תנאים להפקדה</v>
      </c>
      <c r="F405" t="str">
        <v>כן</v>
      </c>
      <c r="G405" t="str">
        <v>כן</v>
      </c>
      <c r="H405" t="str">
        <v>לא</v>
      </c>
      <c r="I405">
        <f>=HYPERLINK("https://mavat.iplan.gov.il/SV4/1/7005342088/310")</f>
      </c>
    </row>
    <row r="406">
      <c r="A406" t="str">
        <v>253-1099852</v>
      </c>
      <c r="B406" t="str">
        <v>שמורת טבע אלוני נחל חרמון ג/27210</v>
      </c>
      <c r="C406" t="str">
        <v>מחוזית</v>
      </c>
      <c r="D406" t="str">
        <v>גולן,הגליל העליון</v>
      </c>
      <c r="E406" t="str">
        <v>במילוי תנאים להפקדה</v>
      </c>
      <c r="F406" t="str">
        <v>כן</v>
      </c>
      <c r="G406" t="str">
        <v>כן</v>
      </c>
      <c r="H406" t="str">
        <v>כן</v>
      </c>
      <c r="I406">
        <f>=HYPERLINK("https://mavat.iplan.gov.il/SV4/1/2005231648/310")</f>
      </c>
    </row>
    <row r="407">
      <c r="A407" t="str">
        <v>413-0783530</v>
      </c>
      <c r="B407" t="str">
        <v>ב.ס.ר ראשון 2 -  רצ/מק10/6/168</v>
      </c>
      <c r="C407" t="str">
        <v>מחוזית</v>
      </c>
      <c r="D407" t="str">
        <v>ראשון לציון</v>
      </c>
      <c r="E407" t="str">
        <v>במילוי תנאים להפקדה</v>
      </c>
      <c r="F407" t="str">
        <v>כן</v>
      </c>
      <c r="G407" t="str">
        <v>כן</v>
      </c>
      <c r="H407" t="str">
        <v>כן</v>
      </c>
      <c r="I407">
        <f>=HYPERLINK("https://mavat.iplan.gov.il/SV4/1/4001025519/310")</f>
      </c>
    </row>
    <row r="408">
      <c r="A408" t="str">
        <v>602-0908897</v>
      </c>
      <c r="B408" t="str">
        <v>התחדשות מתחם התמרים, אילת</v>
      </c>
      <c r="C408" t="str">
        <v>מחוזית</v>
      </c>
      <c r="D408" t="str">
        <v>אילת</v>
      </c>
      <c r="E408" t="str">
        <v>במילוי תנאים להפקדה</v>
      </c>
      <c r="F408" t="str">
        <v>כן</v>
      </c>
      <c r="G408" t="str">
        <v>כן</v>
      </c>
      <c r="H408" t="str">
        <v>כן</v>
      </c>
      <c r="I408">
        <f>=HYPERLINK("https://mavat.iplan.gov.il/SV4/1/6005099412/310")</f>
      </c>
    </row>
    <row r="409">
      <c r="A409" t="str">
        <v>207-1257138</v>
      </c>
      <c r="B409" t="str">
        <v>עיר כנרת-מלונאות ומגורים, טבריה ג/28373</v>
      </c>
      <c r="C409" t="str">
        <v>מחוזית</v>
      </c>
      <c r="D409" t="str">
        <v>טבריה</v>
      </c>
      <c r="E409" t="str">
        <v>במילוי תנאים להפקדה</v>
      </c>
      <c r="F409" t="str">
        <v>כן</v>
      </c>
      <c r="G409" t="str">
        <v>כן</v>
      </c>
      <c r="H409" t="str">
        <v>כן</v>
      </c>
      <c r="I409">
        <f>=HYPERLINK("https://mavat.iplan.gov.il/SV4/1/2005330920/310")</f>
      </c>
    </row>
    <row r="410">
      <c r="A410" t="str">
        <v>415-1180819</v>
      </c>
      <c r="B410" t="str">
        <v>התחדשות מתחם תחנת מטרו וייצמן - רמלה</v>
      </c>
      <c r="C410" t="str">
        <v>מחוזית</v>
      </c>
      <c r="D410" t="str">
        <v>רמלה</v>
      </c>
      <c r="E410" t="str">
        <v>במילוי תנאים להפקדה</v>
      </c>
      <c r="F410" t="str">
        <v>כן</v>
      </c>
      <c r="G410" t="str">
        <v>כן</v>
      </c>
      <c r="H410" t="str">
        <v>כן</v>
      </c>
      <c r="I410">
        <f>=HYPERLINK("https://mavat.iplan.gov.il/SV4/1/4005281326/310")</f>
      </c>
    </row>
    <row r="411">
      <c r="A411" t="str">
        <v>101-1225606</v>
      </c>
      <c r="B411" t="str">
        <v>תוספת בנייה מעל בניין קיים בשכ'' ואדי אלגוז-ירושלים</v>
      </c>
      <c r="C411" t="str">
        <v>מחוזית</v>
      </c>
      <c r="D411" t="str">
        <v>ירושלים</v>
      </c>
      <c r="E411" t="str">
        <v>במילוי תנאים להפקדה</v>
      </c>
      <c r="F411" t="str">
        <v>כן</v>
      </c>
      <c r="G411" t="str">
        <v>כן</v>
      </c>
      <c r="H411" t="str">
        <v>כן</v>
      </c>
      <c r="I411">
        <f>=HYPERLINK("https://mavat.iplan.gov.il/SV4/1/1005310932/310")</f>
      </c>
    </row>
    <row r="412">
      <c r="A412" t="str">
        <v>251-1301563</v>
      </c>
      <c r="B412" t="str">
        <v>הרחבת שכונת מנסורה מע'אר</v>
      </c>
      <c r="C412" t="str">
        <v>מחוזית</v>
      </c>
      <c r="D412" t="str">
        <v>הגליל המזרחי,מג'אר</v>
      </c>
      <c r="E412" t="str">
        <v>במילוי תנאים להפקדה</v>
      </c>
      <c r="F412" t="str">
        <v>כן</v>
      </c>
      <c r="G412" t="str">
        <v>כן</v>
      </c>
      <c r="H412" t="str">
        <v>כן</v>
      </c>
      <c r="I412">
        <f>=HYPERLINK("https://mavat.iplan.gov.il/SV4/1/2005359340/310")</f>
      </c>
    </row>
    <row r="413">
      <c r="A413" t="str">
        <v>252-1217744</v>
      </c>
      <c r="B413" t="str">
        <v>שינוי יעוד ואיחוד וחלוקה - ירכא</v>
      </c>
      <c r="C413" t="str">
        <v>מחוזית</v>
      </c>
      <c r="D413" t="str">
        <v>הגליל המרכזי,ירכא</v>
      </c>
      <c r="E413" t="str">
        <v>במילוי תנאים להפקדה</v>
      </c>
      <c r="F413" t="str">
        <v>כן</v>
      </c>
      <c r="G413" t="str">
        <v>כן</v>
      </c>
      <c r="H413" t="str">
        <v>כן</v>
      </c>
      <c r="I413">
        <f>=HYPERLINK("https://mavat.iplan.gov.il/SV4/1/2005306074/310")</f>
      </c>
    </row>
    <row r="414">
      <c r="A414" t="str">
        <v>101-1189232</v>
      </c>
      <c r="B414" t="str">
        <v>רמות חנה - תכנון מפורט - מורדות צפוניים רמות</v>
      </c>
      <c r="C414" t="str">
        <v>מחוזית</v>
      </c>
      <c r="D414" t="str">
        <v>ירושלים</v>
      </c>
      <c r="E414" t="str">
        <v>במילוי תנאים להפקדה</v>
      </c>
      <c r="F414" t="str">
        <v>כן</v>
      </c>
      <c r="G414" t="str">
        <v>כן</v>
      </c>
      <c r="H414" t="str">
        <v>כן</v>
      </c>
      <c r="I414">
        <f>=HYPERLINK("https://mavat.iplan.gov.il/SV4/1/1005286380/310")</f>
      </c>
    </row>
    <row r="415">
      <c r="A415" t="str">
        <v>456-0847061</v>
      </c>
      <c r="B415" t="str">
        <v>מושב כפר הנגיד תכנית כוללת</v>
      </c>
      <c r="C415" t="str">
        <v>מחוזית</v>
      </c>
      <c r="D415" t="str">
        <v>גן רוה,כפר הנגיד,שורקות</v>
      </c>
      <c r="E415" t="str">
        <v>במילוי תנאים להפקדה</v>
      </c>
      <c r="F415" t="str">
        <v>כן</v>
      </c>
      <c r="G415" t="str">
        <v>כן</v>
      </c>
      <c r="H415" t="str">
        <v>כן</v>
      </c>
      <c r="I415">
        <f>=HYPERLINK("https://mavat.iplan.gov.il/SV4/1/4005062968/310")</f>
      </c>
    </row>
    <row r="416">
      <c r="A416" t="str">
        <v>462-1261304</v>
      </c>
      <c r="B416" t="str">
        <v>דיור מוגן, עירוב שימושים גן יבנה</v>
      </c>
      <c r="C416" t="str">
        <v>מחוזית</v>
      </c>
      <c r="D416" t="str">
        <v>גן יבנה</v>
      </c>
      <c r="E416" t="str">
        <v>במילוי תנאים להפקדה</v>
      </c>
      <c r="F416" t="str">
        <v>כן</v>
      </c>
      <c r="G416" t="str">
        <v>כן</v>
      </c>
      <c r="H416" t="str">
        <v>כן</v>
      </c>
      <c r="I416">
        <f>=HYPERLINK("https://mavat.iplan.gov.il/SV4/1/4005333238/310")</f>
      </c>
    </row>
    <row r="417">
      <c r="A417" t="str">
        <v>101-1079128</v>
      </c>
      <c r="B417" t="str">
        <v>קניון בית חנינא, ירושלים</v>
      </c>
      <c r="C417" t="str">
        <v>מחוזית</v>
      </c>
      <c r="D417" t="str">
        <v>ירושלים</v>
      </c>
      <c r="E417" t="str">
        <v>במילוי תנאים להפקדה</v>
      </c>
      <c r="F417" t="str">
        <v>כן</v>
      </c>
      <c r="G417" t="str">
        <v>כן</v>
      </c>
      <c r="H417" t="str">
        <v>כן</v>
      </c>
      <c r="I417">
        <f>=HYPERLINK("https://mavat.iplan.gov.il/SV4/1/1005218834/310")</f>
      </c>
    </row>
    <row r="418">
      <c r="A418" t="str">
        <v>201-1113505</v>
      </c>
      <c r="B418" t="str">
        <v>מאגרי דמון ב' ו-ג'</v>
      </c>
      <c r="C418" t="str">
        <v>מחוזית</v>
      </c>
      <c r="D418" t="str">
        <v>חבל אשר,מטה אשר</v>
      </c>
      <c r="E418" t="str">
        <v>במילוי תנאים להפקדה</v>
      </c>
      <c r="F418" t="str">
        <v>כן</v>
      </c>
      <c r="G418" t="str">
        <v>כן</v>
      </c>
      <c r="H418" t="str">
        <v>כן</v>
      </c>
      <c r="I418">
        <f>=HYPERLINK("https://mavat.iplan.gov.il/SV4/1/2005239956/310")</f>
      </c>
    </row>
    <row r="419">
      <c r="A419" t="str">
        <v>403-0973578</v>
      </c>
      <c r="B419" t="str">
        <v>טירה מזרחית מתחמים 2-3</v>
      </c>
      <c r="C419" t="str">
        <v>מחוזית</v>
      </c>
      <c r="D419" t="str">
        <v>טירה</v>
      </c>
      <c r="E419" t="str">
        <v>במילוי תנאים להפקדה</v>
      </c>
      <c r="F419" t="str">
        <v>כן</v>
      </c>
      <c r="G419" t="str">
        <v>כן</v>
      </c>
      <c r="H419" t="str">
        <v>כן</v>
      </c>
      <c r="I419">
        <f>=HYPERLINK("https://mavat.iplan.gov.il/SV4/1/4005138086/310")</f>
      </c>
    </row>
    <row r="420">
      <c r="A420" t="str">
        <v>254-1091875</v>
      </c>
      <c r="B420" t="str">
        <v>ג/ 27630 - הגדלת שטח מגורים והוספת יחידות דיור לנחלות בנהלל</v>
      </c>
      <c r="C420" t="str">
        <v>מחוזית</v>
      </c>
      <c r="D420" t="str">
        <v>יזרעאלים,נהלל,עמק יזרעאל</v>
      </c>
      <c r="E420" t="str">
        <v>במילוי תנאים להפקדה</v>
      </c>
      <c r="F420" t="str">
        <v>כן</v>
      </c>
      <c r="G420" t="str">
        <v>כן</v>
      </c>
      <c r="H420" t="str">
        <v>כן</v>
      </c>
      <c r="I420">
        <f>=HYPERLINK("https://mavat.iplan.gov.il/SV4/1/2005226692/310")</f>
      </c>
    </row>
    <row r="421">
      <c r="A421" t="str">
        <v>יוש/ 8/ 9/ 210</v>
      </c>
      <c r="B421" t="str">
        <v>מודיעין עילית, מסחר ותעסוקה</v>
      </c>
      <c r="C421" t="str">
        <v>יו"ש -מועצת התכנון העליונה</v>
      </c>
      <c r="D421" t="str">
        <v>מודיעין עילית</v>
      </c>
      <c r="E421" t="str">
        <v>במילוי תנאים להפקדה</v>
      </c>
      <c r="F421" t="str">
        <v>כן</v>
      </c>
      <c r="G421" t="str">
        <v>כן</v>
      </c>
      <c r="H421" t="str">
        <v>לא</v>
      </c>
      <c r="I421">
        <f>=HYPERLINK("https://mavat.iplan.gov.il/SV4/1/7005343140/310")</f>
      </c>
    </row>
    <row r="422">
      <c r="A422" t="str">
        <v>101-0975292</v>
      </c>
      <c r="B422" t="str">
        <v>התחדשות עירונית רמות פולין</v>
      </c>
      <c r="C422" t="str">
        <v>מחוזית</v>
      </c>
      <c r="D422" t="str">
        <v>ירושלים</v>
      </c>
      <c r="E422" t="str">
        <v>במילוי תנאים להפקדה</v>
      </c>
      <c r="F422" t="str">
        <v>כן</v>
      </c>
      <c r="G422" t="str">
        <v>כן</v>
      </c>
      <c r="H422" t="str">
        <v>כן</v>
      </c>
      <c r="I422">
        <f>=HYPERLINK("https://mavat.iplan.gov.il/SV4/1/1005139016/310")</f>
      </c>
    </row>
    <row r="423">
      <c r="A423" t="str">
        <v>413-0972935</v>
      </c>
      <c r="B423" t="str">
        <v>ראשון לציון - התחדשות בניינית</v>
      </c>
      <c r="C423" t="str">
        <v>מחוזית</v>
      </c>
      <c r="D423" t="str">
        <v>ראשון לציון</v>
      </c>
      <c r="E423" t="str">
        <v>במילוי תנאים להפקדה</v>
      </c>
      <c r="F423" t="str">
        <v>כן</v>
      </c>
      <c r="G423" t="str">
        <v>כן</v>
      </c>
      <c r="H423" t="str">
        <v>כן</v>
      </c>
      <c r="I423">
        <f>=HYPERLINK("https://mavat.iplan.gov.il/SV4/1/4005137658/310")</f>
      </c>
    </row>
    <row r="424">
      <c r="A424" t="str">
        <v>254-1079615</v>
      </c>
      <c r="B424" t="str">
        <v>הסדרת שימושים וניוד יח"ד בתחום התוכנית המאושרת, קיבוץ מזרע</v>
      </c>
      <c r="C424" t="str">
        <v>מחוזית</v>
      </c>
      <c r="D424" t="str">
        <v>יזרעאלים,מזרע,עמק יזרעאל</v>
      </c>
      <c r="E424" t="str">
        <v>במילוי תנאים להפקדה</v>
      </c>
      <c r="F424" t="str">
        <v>כן</v>
      </c>
      <c r="G424" t="str">
        <v>כן</v>
      </c>
      <c r="H424" t="str">
        <v>כן</v>
      </c>
      <c r="I424">
        <f>=HYPERLINK("https://mavat.iplan.gov.il/SV4/1/2005219152/310")</f>
      </c>
    </row>
    <row r="425">
      <c r="A425" t="str">
        <v>258-0685743</v>
      </c>
      <c r="B425" t="str">
        <v>מתחם ה7- א-סעבנייה, בית ג'אן</v>
      </c>
      <c r="C425" t="str">
        <v>מחוזית</v>
      </c>
      <c r="D425" t="str">
        <v>בית ג'ן,מעלה נפתלי</v>
      </c>
      <c r="E425" t="str">
        <v>במילוי תנאים להפקדה</v>
      </c>
      <c r="F425" t="str">
        <v>כן</v>
      </c>
      <c r="G425" t="str">
        <v>כן</v>
      </c>
      <c r="H425" t="str">
        <v>כן</v>
      </c>
      <c r="I425">
        <f>=HYPERLINK("https://mavat.iplan.gov.il/SV4/1/2000963591/310")</f>
      </c>
    </row>
    <row r="426">
      <c r="A426" t="str">
        <v>255-0959098</v>
      </c>
      <c r="B426" t="str">
        <v>תוספת יח"ד שלישית והסדרת ייעודי קרקע ושימושים- מושב יערה</v>
      </c>
      <c r="C426" t="str">
        <v>מחוזית</v>
      </c>
      <c r="D426" t="str">
        <v>יערה,מעלה הגליל,מעלה יוסף</v>
      </c>
      <c r="E426" t="str">
        <v>במילוי תנאים להפקדה</v>
      </c>
      <c r="F426" t="str">
        <v>כן</v>
      </c>
      <c r="G426" t="str">
        <v>כן</v>
      </c>
      <c r="H426" t="str">
        <v>כן</v>
      </c>
      <c r="I426">
        <f>=HYPERLINK("https://mavat.iplan.gov.il/SV4/1/2005129806/310")</f>
      </c>
    </row>
    <row r="427">
      <c r="A427" t="str">
        <v>425-0829853</v>
      </c>
      <c r="B427" t="str">
        <v>מהדרין-תעשיון צריפין</v>
      </c>
      <c r="C427" t="str">
        <v>מחוזית</v>
      </c>
      <c r="D427" t="str">
        <v>שדות דן</v>
      </c>
      <c r="E427" t="str">
        <v>במילוי תנאים להפקדה</v>
      </c>
      <c r="F427" t="str">
        <v>כן</v>
      </c>
      <c r="G427" t="str">
        <v>כן</v>
      </c>
      <c r="H427" t="str">
        <v>כן</v>
      </c>
      <c r="I427">
        <f>=HYPERLINK("https://mavat.iplan.gov.il/SV4/1/4005052488/310")</f>
      </c>
    </row>
    <row r="428">
      <c r="A428" t="str">
        <v>417-0693168</v>
      </c>
      <c r="B428" t="str">
        <v>מושב ירחיב</v>
      </c>
      <c r="C428" t="str">
        <v>מחוזית</v>
      </c>
      <c r="D428" t="str">
        <v>דרום השרון,ירחיב</v>
      </c>
      <c r="E428" t="str">
        <v>במילוי תנאים להפקדה</v>
      </c>
      <c r="F428" t="str">
        <v>כן</v>
      </c>
      <c r="G428" t="str">
        <v>כן</v>
      </c>
      <c r="H428" t="str">
        <v>כן</v>
      </c>
      <c r="I428">
        <f>=HYPERLINK("https://mavat.iplan.gov.il/SV4/1/4000967917/310")</f>
      </c>
    </row>
    <row r="429">
      <c r="A429" t="str">
        <v>354-1163922</v>
      </c>
      <c r="B429" t="str">
        <v>שכונת דרדס - צפון מערב באקה אלגרבייה</v>
      </c>
      <c r="C429" t="str">
        <v>מחוזית</v>
      </c>
      <c r="D429" t="str">
        <v>באקה אל ג'רביה,באקה אל גרבייה,גלילית מחוז חיפה,מנשה-אלונה,עירון</v>
      </c>
      <c r="E429" t="str">
        <v>במילוי תנאים להפקדה</v>
      </c>
      <c r="F429" t="str">
        <v>כן</v>
      </c>
      <c r="G429" t="str">
        <v>כן</v>
      </c>
      <c r="H429" t="str">
        <v>כן</v>
      </c>
      <c r="I429">
        <f>=HYPERLINK("https://mavat.iplan.gov.il/SV4/1/3005271002/310")</f>
      </c>
    </row>
    <row r="430">
      <c r="A430" t="str">
        <v>354-1195064</v>
      </c>
      <c r="B430" t="str">
        <v>שכונת "טיון" הרחבה מערבית לבאקה אלג'רבייה</v>
      </c>
      <c r="C430" t="str">
        <v>מחוזית</v>
      </c>
      <c r="D430" t="str">
        <v>באקה אל ג'רביה,באקה אל גרבייה,ג'ת,עירון</v>
      </c>
      <c r="E430" t="str">
        <v>במילוי תנאים להפקדה</v>
      </c>
      <c r="F430" t="str">
        <v>כן</v>
      </c>
      <c r="G430" t="str">
        <v>כן</v>
      </c>
      <c r="H430" t="str">
        <v>כן</v>
      </c>
      <c r="I430">
        <f>=HYPERLINK("https://mavat.iplan.gov.il/SV4/1/3005289878/310")</f>
      </c>
    </row>
    <row r="431">
      <c r="A431" t="str">
        <v>152-0933333</v>
      </c>
      <c r="B431" t="str">
        <v>לב מבשרת</v>
      </c>
      <c r="C431" t="str">
        <v>מחוזית</v>
      </c>
      <c r="D431" t="str">
        <v>הראל,מבשרת ציון</v>
      </c>
      <c r="E431" t="str">
        <v>במילוי תנאים להפקדה</v>
      </c>
      <c r="F431" t="str">
        <v>כן</v>
      </c>
      <c r="G431" t="str">
        <v>כן</v>
      </c>
      <c r="H431" t="str">
        <v>כן</v>
      </c>
      <c r="I431">
        <f>=HYPERLINK("https://mavat.iplan.gov.il/SV4/1/1005114522/310")</f>
      </c>
    </row>
    <row r="432">
      <c r="A432" t="str">
        <v>יוש/ 1/ 13/ 235</v>
      </c>
      <c r="B432" t="str">
        <v>טלמון, הרחבת היישוב שכונת האגוז, שלב א'</v>
      </c>
      <c r="C432" t="str">
        <v>יו"ש -ועדה מחוזית לתכנון ערים, כפרים ומבנים</v>
      </c>
      <c r="D432" t="str">
        <v>טלמון,מטה בנימין</v>
      </c>
      <c r="E432" t="str">
        <v>במילוי תנאים להפקדה</v>
      </c>
      <c r="F432" t="str">
        <v>לא</v>
      </c>
      <c r="G432" t="str">
        <v>כן</v>
      </c>
      <c r="H432" t="str">
        <v>לא</v>
      </c>
      <c r="I432">
        <f>=HYPERLINK("https://mavat.iplan.gov.il/SV4/1/7005392504/310")</f>
      </c>
    </row>
    <row r="433">
      <c r="A433" t="str">
        <v>יוש/ 6/ 2/ 4/ 210</v>
      </c>
      <c r="B433" t="str">
        <v>מודיעין עילית, מגורים, מסחר ותעסוקה</v>
      </c>
      <c r="C433" t="str">
        <v>יו"ש -מועצת התכנון העליונה</v>
      </c>
      <c r="D433" t="str">
        <v>מודיעין עילית</v>
      </c>
      <c r="E433" t="str">
        <v>במילוי תנאים להפקדה</v>
      </c>
      <c r="F433" t="str">
        <v>כן</v>
      </c>
      <c r="G433" t="str">
        <v>כן</v>
      </c>
      <c r="H433" t="str">
        <v>לא</v>
      </c>
      <c r="I433">
        <f>=HYPERLINK("https://mavat.iplan.gov.il/SV4/1/7005311118/310")</f>
      </c>
    </row>
    <row r="434">
      <c r="A434" t="str">
        <v>409-1041839</v>
      </c>
      <c r="B434" t="str">
        <v>תכנית מתאר כוללנית למועצה אזורית עמק חפר</v>
      </c>
      <c r="C434" t="str">
        <v>מחוזית</v>
      </c>
      <c r="D434" t="str">
        <v>עמק חפר</v>
      </c>
      <c r="E434" t="str">
        <v>במילוי תנאים להפקדה</v>
      </c>
      <c r="F434" t="str">
        <v>כן</v>
      </c>
      <c r="G434" t="str">
        <v>כן</v>
      </c>
      <c r="H434" t="str">
        <v>כן</v>
      </c>
      <c r="I434">
        <f>=HYPERLINK("https://mavat.iplan.gov.il/SV4/1/4005196960/310")</f>
      </c>
    </row>
    <row r="435">
      <c r="A435" t="str">
        <v>253-0858159</v>
      </c>
      <c r="B435" t="str">
        <v>שדה נחמיה - מתאר והרחבה צפונית - ג/28108</v>
      </c>
      <c r="C435" t="str">
        <v>מחוזית</v>
      </c>
      <c r="D435" t="str">
        <v>הגליל העליון,שדה נחמיה</v>
      </c>
      <c r="E435" t="str">
        <v>במילוי תנאים להפקדה</v>
      </c>
      <c r="F435" t="str">
        <v>כן</v>
      </c>
      <c r="G435" t="str">
        <v>כן</v>
      </c>
      <c r="H435" t="str">
        <v>כן</v>
      </c>
      <c r="I435">
        <f>=HYPERLINK("https://mavat.iplan.gov.il/SV4/1/2005068600/310")</f>
      </c>
    </row>
    <row r="436">
      <c r="A436" t="str">
        <v>506-0985929</v>
      </c>
      <c r="B436" t="str">
        <v>המרחב הירוק - דרום רמת גן - רג/1866</v>
      </c>
      <c r="C436" t="str">
        <v>מחוזית</v>
      </c>
      <c r="D436" t="str">
        <v>רמת גן</v>
      </c>
      <c r="E436" t="str">
        <v>במילוי תנאים להפקדה</v>
      </c>
      <c r="F436" t="str">
        <v>כן</v>
      </c>
      <c r="G436" t="str">
        <v>כן</v>
      </c>
      <c r="H436" t="str">
        <v>כן</v>
      </c>
      <c r="I436">
        <f>=HYPERLINK("https://mavat.iplan.gov.il/SV4/1/5005146038/310")</f>
      </c>
    </row>
    <row r="437">
      <c r="A437" t="str">
        <v>651-1026426</v>
      </c>
      <c r="B437" t="str">
        <v>קיבוץ רוחמה - תכנית כוללת</v>
      </c>
      <c r="C437" t="str">
        <v>מחוזית</v>
      </c>
      <c r="D437" t="str">
        <v>נגב מערבי,רוחמה,שער הנגב</v>
      </c>
      <c r="E437" t="str">
        <v>במילוי תנאים להפקדה</v>
      </c>
      <c r="F437" t="str">
        <v>כן</v>
      </c>
      <c r="G437" t="str">
        <v>כן</v>
      </c>
      <c r="H437" t="str">
        <v>כן</v>
      </c>
      <c r="I437">
        <f>=HYPERLINK("https://mavat.iplan.gov.il/SV4/1/6005187032/310")</f>
      </c>
    </row>
    <row r="438">
      <c r="A438" t="str">
        <v>426-1156264</v>
      </c>
      <c r="B438" t="str">
        <v>בית עלמין כרמי יוסף</v>
      </c>
      <c r="C438" t="str">
        <v>מחוזית</v>
      </c>
      <c r="D438" t="str">
        <v>גזר,כרמי יוסף</v>
      </c>
      <c r="E438" t="str">
        <v>במילוי תנאים להפקדה</v>
      </c>
      <c r="F438" t="str">
        <v>כן</v>
      </c>
      <c r="G438" t="str">
        <v>כן</v>
      </c>
      <c r="H438" t="str">
        <v>כן</v>
      </c>
      <c r="I438">
        <f>=HYPERLINK("https://mavat.iplan.gov.il/SV4/1/4005266516/310")</f>
      </c>
    </row>
    <row r="439">
      <c r="A439" t="str">
        <v>503-0549683</v>
      </c>
      <c r="B439" t="str">
        <v>תכנית מתאר כוללנית גבעתיים</v>
      </c>
      <c r="C439" t="str">
        <v>מחוזית</v>
      </c>
      <c r="D439" t="str">
        <v>גבעתיים</v>
      </c>
      <c r="E439" t="str">
        <v>במילוי תנאים להפקדה</v>
      </c>
      <c r="F439" t="str">
        <v>כן</v>
      </c>
      <c r="G439" t="str">
        <v>כן</v>
      </c>
      <c r="H439" t="str">
        <v>כן</v>
      </c>
      <c r="I439">
        <f>=HYPERLINK("https://mavat.iplan.gov.il/SV4/1/5000887555/310")</f>
      </c>
    </row>
    <row r="440">
      <c r="A440" t="str">
        <v>255-0941476</v>
      </c>
      <c r="B440" t="str">
        <v>כפר סמיע - תכנית מתאר כוללנית</v>
      </c>
      <c r="C440" t="str">
        <v>מחוזית</v>
      </c>
      <c r="D440" t="str">
        <v>כסרא-סמיע,מעלה הגליל</v>
      </c>
      <c r="E440" t="str">
        <v>במילוי תנאים להפקדה</v>
      </c>
      <c r="F440" t="str">
        <v>כן</v>
      </c>
      <c r="G440" t="str">
        <v>כן</v>
      </c>
      <c r="H440" t="str">
        <v>כן</v>
      </c>
      <c r="I440">
        <f>=HYPERLINK("https://mavat.iplan.gov.il/SV4/1/2005119642/310")</f>
      </c>
    </row>
    <row r="441">
      <c r="A441" t="str">
        <v>401-0814384</v>
      </c>
      <c r="B441" t="str">
        <v>מועצה אזורית חוף השרון - תכנית מתאר כוללנית</v>
      </c>
      <c r="C441" t="str">
        <v>מחוזית</v>
      </c>
      <c r="D441" t="str">
        <v>חוף השרון,רמת השרון</v>
      </c>
      <c r="E441" t="str">
        <v>במילוי תנאים להפקדה</v>
      </c>
      <c r="F441" t="str">
        <v>כן</v>
      </c>
      <c r="G441" t="str">
        <v>כן</v>
      </c>
      <c r="H441" t="str">
        <v>כן</v>
      </c>
      <c r="I441">
        <f>=HYPERLINK("https://mavat.iplan.gov.il/SV4/1/4005043474/310")</f>
      </c>
    </row>
    <row r="442">
      <c r="A442" t="str">
        <v>426-1038322</v>
      </c>
      <c r="B442" t="str">
        <v>מתקן בטחוני-באר יעקוב</v>
      </c>
      <c r="C442" t="str">
        <v>מחוזית</v>
      </c>
      <c r="D442" t="str">
        <v>באר יעקב,גזר,מצפה אפק,רמלה</v>
      </c>
      <c r="E442" t="str">
        <v>במילוי תנאים להפקדה</v>
      </c>
      <c r="F442" t="str">
        <v>לא</v>
      </c>
      <c r="G442" t="str">
        <v>לא</v>
      </c>
      <c r="H442" t="str">
        <v>כן</v>
      </c>
      <c r="I442">
        <f>=HYPERLINK("https://mavat.iplan.gov.il/SV4/1/4005194852/310")</f>
      </c>
    </row>
    <row r="443">
      <c r="A443" t="str">
        <v>101-1095330</v>
      </c>
      <c r="B443" t="str">
        <v>מתחם רג'ואן - הסדנא-פייר קניג</v>
      </c>
      <c r="C443" t="str">
        <v>מחוזית</v>
      </c>
      <c r="D443" t="str">
        <v>ירושלים</v>
      </c>
      <c r="E443" t="str">
        <v>במילוי תנאים להפקדה</v>
      </c>
      <c r="F443" t="str">
        <v>כן</v>
      </c>
      <c r="G443" t="str">
        <v>כן</v>
      </c>
      <c r="H443" t="str">
        <v>כן</v>
      </c>
      <c r="I443">
        <f>=HYPERLINK("https://mavat.iplan.gov.il/SV4/1/1005228636/310")</f>
      </c>
    </row>
    <row r="444">
      <c r="A444" t="str">
        <v>505-1043090</v>
      </c>
      <c r="B444" t="str">
        <v>תכנית כוללנית חולון ח/2040</v>
      </c>
      <c r="C444" t="str">
        <v>מחוזית</v>
      </c>
      <c r="D444" t="str">
        <v>חולון</v>
      </c>
      <c r="E444" t="str">
        <v>במילוי תנאים להפקדה</v>
      </c>
      <c r="F444" t="str">
        <v>כן</v>
      </c>
      <c r="G444" t="str">
        <v>כן</v>
      </c>
      <c r="H444" t="str">
        <v>כן</v>
      </c>
      <c r="I444">
        <f>=HYPERLINK("https://mavat.iplan.gov.il/SV4/1/5005197812/310")</f>
      </c>
    </row>
    <row r="445">
      <c r="A445" t="str">
        <v>255-1160910</v>
      </c>
      <c r="B445" t="str">
        <v>כיסרא - מתחמים 1,2,5,6.1</v>
      </c>
      <c r="C445" t="str">
        <v>מחוזית</v>
      </c>
      <c r="D445" t="str">
        <v>כסרא-סמיע,מעלה הגליל,מעלה נפתלי,פקיעין (בוקייעה)</v>
      </c>
      <c r="E445" t="str">
        <v>במילוי תנאים להפקדה</v>
      </c>
      <c r="F445" t="str">
        <v>כן</v>
      </c>
      <c r="G445" t="str">
        <v>כן</v>
      </c>
      <c r="H445" t="str">
        <v>כן</v>
      </c>
      <c r="I445">
        <f>=HYPERLINK("https://mavat.iplan.gov.il/SV4/1/2005269220/310")</f>
      </c>
    </row>
    <row r="446">
      <c r="A446" t="str">
        <v>101-0120709</v>
      </c>
      <c r="B446" t="str">
        <v>שכונת מגורים "קדמת ציון"</v>
      </c>
      <c r="C446" t="str">
        <v>מחוזית</v>
      </c>
      <c r="D446" t="str">
        <v>ירושלים</v>
      </c>
      <c r="E446" t="str">
        <v>במילוי תנאים להפקדה</v>
      </c>
      <c r="F446" t="str">
        <v>כן</v>
      </c>
      <c r="G446" t="str">
        <v>כן</v>
      </c>
      <c r="H446" t="str">
        <v>כן</v>
      </c>
      <c r="I446">
        <f>=HYPERLINK("https://mavat.iplan.gov.il/SV4/1/1000254189/310")</f>
      </c>
    </row>
    <row r="447">
      <c r="A447" t="str">
        <v>410-0856047</v>
      </c>
      <c r="B447" t="str">
        <v>סגולה - מרכז עסקים ירקון - פתח תקוה</v>
      </c>
      <c r="C447" t="str">
        <v>מחוזית</v>
      </c>
      <c r="D447" t="str">
        <v>פתח תקוה</v>
      </c>
      <c r="E447" t="str">
        <v>במילוי תנאים להפקדה</v>
      </c>
      <c r="F447" t="str">
        <v>כן</v>
      </c>
      <c r="G447" t="str">
        <v>כן</v>
      </c>
      <c r="H447" t="str">
        <v>כן</v>
      </c>
      <c r="I447">
        <f>=HYPERLINK("https://mavat.iplan.gov.il/SV4/1/4005067836/310")</f>
      </c>
    </row>
    <row r="448">
      <c r="A448" t="str">
        <v>254-0773002</v>
      </c>
      <c r="B448" t="str">
        <v>שינוי יעוד בחלקה 5 בגוש 17187 ובחלקה 5 בגוש 17184</v>
      </c>
      <c r="C448" t="str">
        <v>מחוזית</v>
      </c>
      <c r="D448" t="str">
        <v>יזרעאלים,נהלל,עמק יזרעאל</v>
      </c>
      <c r="E448" t="str">
        <v>במילוי תנאים להפקדה</v>
      </c>
      <c r="F448" t="str">
        <v>כן</v>
      </c>
      <c r="G448" t="str">
        <v>כן</v>
      </c>
      <c r="H448" t="str">
        <v>כן</v>
      </c>
      <c r="I448">
        <f>=HYPERLINK("https://mavat.iplan.gov.il/SV4/1/2001018539/310")</f>
      </c>
    </row>
    <row r="449">
      <c r="A449" t="str">
        <v>101-0921353</v>
      </c>
      <c r="B449" t="str">
        <v>הקמת מתחם מגורים, רמת אלון צפון, מתחם א', ירושלים</v>
      </c>
      <c r="C449" t="str">
        <v>מחוזית</v>
      </c>
      <c r="D449" t="str">
        <v>ירושלים</v>
      </c>
      <c r="E449" t="str">
        <v>במילוי תנאים להפקדה</v>
      </c>
      <c r="F449" t="str">
        <v>כן</v>
      </c>
      <c r="G449" t="str">
        <v>כן</v>
      </c>
      <c r="H449" t="str">
        <v>כן</v>
      </c>
      <c r="I449">
        <f>=HYPERLINK("https://mavat.iplan.gov.il/SV4/1/1005107192/310")</f>
      </c>
    </row>
    <row r="450">
      <c r="A450" t="str">
        <v>101-0976597</v>
      </c>
      <c r="B450" t="str">
        <v>נוף זהב- מלונאות ומגורים</v>
      </c>
      <c r="C450" t="str">
        <v>מחוזית</v>
      </c>
      <c r="D450" t="str">
        <v>ירושלים</v>
      </c>
      <c r="E450" t="str">
        <v>במילוי תנאים להפקדה</v>
      </c>
      <c r="F450" t="str">
        <v>כן</v>
      </c>
      <c r="G450" t="str">
        <v>כן</v>
      </c>
      <c r="H450" t="str">
        <v>כן</v>
      </c>
      <c r="I450">
        <f>=HYPERLINK("https://mavat.iplan.gov.il/SV4/1/1005139716/310")</f>
      </c>
    </row>
    <row r="451">
      <c r="A451" t="str">
        <v>354-1086867</v>
      </c>
      <c r="B451" t="str">
        <v>הרחבת מתחם בית ספר אלחכים ומתחם המועצה - כפר קרע</v>
      </c>
      <c r="C451" t="str">
        <v>מחוזית</v>
      </c>
      <c r="D451" t="str">
        <v>כפר קרע,עירון</v>
      </c>
      <c r="E451" t="str">
        <v>במילוי תנאים להפקדה</v>
      </c>
      <c r="F451" t="str">
        <v>כן</v>
      </c>
      <c r="G451" t="str">
        <v>כן</v>
      </c>
      <c r="H451" t="str">
        <v>כן</v>
      </c>
      <c r="I451">
        <f>=HYPERLINK("https://mavat.iplan.gov.il/SV4/1/3005223604/310")</f>
      </c>
    </row>
    <row r="452">
      <c r="A452" t="str">
        <v>יוש/ 1/ 3/ 516</v>
      </c>
      <c r="B452" t="str">
        <v>אדורה, רה תכנון שכונה קיימת והרחבה</v>
      </c>
      <c r="C452" t="str">
        <v>יו"ש -מועצת התכנון העליונה</v>
      </c>
      <c r="D452" t="str">
        <v>אדורה,הר חברון</v>
      </c>
      <c r="E452" t="str">
        <v>במילוי תנאים להפקדה</v>
      </c>
      <c r="F452" t="str">
        <v>כן</v>
      </c>
      <c r="G452" t="str">
        <v>כן</v>
      </c>
      <c r="H452" t="str">
        <v>לא</v>
      </c>
      <c r="I452">
        <f>=HYPERLINK("https://mavat.iplan.gov.il/SV4/1/7005227104/310")</f>
      </c>
    </row>
    <row r="453">
      <c r="A453" t="str">
        <v>254-1117969</v>
      </c>
      <c r="B453" t="str">
        <v>הגדרת זכויות בשטח מבני משק מאושר, כפר החורש</v>
      </c>
      <c r="C453" t="str">
        <v>מחוזית</v>
      </c>
      <c r="D453" t="str">
        <v>יזרעאלים,כפר החורש,עמק יזרעאל</v>
      </c>
      <c r="E453" t="str">
        <v>במילוי תנאים להפקדה</v>
      </c>
      <c r="F453" t="str">
        <v>כן</v>
      </c>
      <c r="G453" t="str">
        <v>כן</v>
      </c>
      <c r="H453" t="str">
        <v>כן</v>
      </c>
      <c r="I453">
        <f>=HYPERLINK("https://mavat.iplan.gov.il/SV4/1/2005242418/310")</f>
      </c>
    </row>
    <row r="454">
      <c r="A454" t="str">
        <v>102-0124024</v>
      </c>
      <c r="B454" t="str">
        <v>אזור תיירות, נופש וספורט בדרום מערב בית שמש - מתחם ד'-7</v>
      </c>
      <c r="C454" t="str">
        <v>מחוזית</v>
      </c>
      <c r="D454" t="str">
        <v>בית שמש,מטה יהודה</v>
      </c>
      <c r="E454" t="str">
        <v>במילוי תנאים להפקדה</v>
      </c>
      <c r="F454" t="str">
        <v>כן</v>
      </c>
      <c r="G454" t="str">
        <v>כן</v>
      </c>
      <c r="H454" t="str">
        <v>כן</v>
      </c>
      <c r="I454">
        <f>=HYPERLINK("https://mavat.iplan.gov.il/SV4/1/1000255861/310")</f>
      </c>
    </row>
    <row r="455">
      <c r="A455" t="str">
        <v>617-1170075</v>
      </c>
      <c r="B455" t="str">
        <v>קריית מלאכי - מסמך מדיניות</v>
      </c>
      <c r="C455" t="str">
        <v>מחוזית</v>
      </c>
      <c r="D455" t="str">
        <v>קרית מלאכי</v>
      </c>
      <c r="E455" t="str">
        <v>במילוי תנאים להפקדה</v>
      </c>
      <c r="F455" t="str">
        <v>כן</v>
      </c>
      <c r="G455" t="str">
        <v>כן</v>
      </c>
      <c r="H455" t="str">
        <v>כן</v>
      </c>
      <c r="I455">
        <f>=HYPERLINK("https://mavat.iplan.gov.il/SV4/1/6005274956/310")</f>
      </c>
    </row>
    <row r="456">
      <c r="A456" t="str">
        <v>426-0875252</v>
      </c>
      <c r="B456" t="str">
        <v>תכנית מתאר כוללנית מועצה אזורית גזר</v>
      </c>
      <c r="C456" t="str">
        <v>מחוזית</v>
      </c>
      <c r="D456" t="str">
        <v>גזר</v>
      </c>
      <c r="E456" t="str">
        <v>במילוי תנאים להפקדה</v>
      </c>
      <c r="F456" t="str">
        <v>כן</v>
      </c>
      <c r="G456" t="str">
        <v>כן</v>
      </c>
      <c r="H456" t="str">
        <v>כן</v>
      </c>
      <c r="I456">
        <f>=HYPERLINK("https://mavat.iplan.gov.il/SV4/1/4005078652/310")</f>
      </c>
    </row>
    <row r="457">
      <c r="A457" t="str">
        <v>356-0927962</v>
      </c>
      <c r="B457" t="str">
        <v>תחמ"ש דאלית אל כרמל</v>
      </c>
      <c r="C457" t="str">
        <v>מחוזית</v>
      </c>
      <c r="D457" t="str">
        <v>דאלית אל-כרמל,רכס הכרמל</v>
      </c>
      <c r="E457" t="str">
        <v>במילוי תנאים להפקדה</v>
      </c>
      <c r="F457" t="str">
        <v>כן</v>
      </c>
      <c r="G457" t="str">
        <v>כן</v>
      </c>
      <c r="H457" t="str">
        <v>כן</v>
      </c>
      <c r="I457">
        <f>=HYPERLINK("https://mavat.iplan.gov.il/SV4/1/3005111284/310")</f>
      </c>
    </row>
    <row r="458">
      <c r="A458" t="str">
        <v>633-0185736</v>
      </c>
      <c r="B458" t="str">
        <v>מסילת חלץ</v>
      </c>
      <c r="C458" t="str">
        <v>מחוזית</v>
      </c>
      <c r="D458" t="str">
        <v>חוף אשקלון,לכיש,שפיר</v>
      </c>
      <c r="E458" t="str">
        <v>במילוי תנאים להפקדה</v>
      </c>
      <c r="F458" t="str">
        <v>כן</v>
      </c>
      <c r="G458" t="str">
        <v>כן</v>
      </c>
      <c r="H458" t="str">
        <v>כן</v>
      </c>
      <c r="I458">
        <f>=HYPERLINK("https://mavat.iplan.gov.il/SV4/1/6000293059/310")</f>
      </c>
    </row>
    <row r="459">
      <c r="A459" t="str">
        <v>308-0848689</v>
      </c>
      <c r="B459" t="str">
        <v>פרדס חנה - מתחם תעסוקה מזרחי</v>
      </c>
      <c r="C459" t="str">
        <v>מחוזית</v>
      </c>
      <c r="D459" t="str">
        <v>מנשה,מנשה-אלונה,משמרות,פרדס חנה-כרכור</v>
      </c>
      <c r="E459" t="str">
        <v>במילוי תנאים להפקדה</v>
      </c>
      <c r="F459" t="str">
        <v>כן</v>
      </c>
      <c r="G459" t="str">
        <v>כן</v>
      </c>
      <c r="H459" t="str">
        <v>כן</v>
      </c>
      <c r="I459">
        <f>=HYPERLINK("https://mavat.iplan.gov.il/SV4/1/3005063954/310")</f>
      </c>
    </row>
    <row r="460">
      <c r="A460" t="str">
        <v>354-0771147</v>
      </c>
      <c r="B460" t="str">
        <v>תכנון חוות דירים - דרום מועאוויה</v>
      </c>
      <c r="C460" t="str">
        <v>מחוזית</v>
      </c>
      <c r="D460" t="str">
        <v>בסמ"ה,עירון</v>
      </c>
      <c r="E460" t="str">
        <v>במילוי תנאים להפקדה</v>
      </c>
      <c r="F460" t="str">
        <v>כן</v>
      </c>
      <c r="G460" t="str">
        <v>כן</v>
      </c>
      <c r="H460" t="str">
        <v>כן</v>
      </c>
      <c r="I460">
        <f>=HYPERLINK("https://mavat.iplan.gov.il/SV4/1/3001017435/310")</f>
      </c>
    </row>
    <row r="461">
      <c r="A461" t="str">
        <v>260-0660704</v>
      </c>
      <c r="B461" t="str">
        <v>תכנית מתאר בענה</v>
      </c>
      <c r="C461" t="str">
        <v>מחוזית</v>
      </c>
      <c r="D461" t="str">
        <v>בקעת בית הכרם</v>
      </c>
      <c r="E461" t="str">
        <v>במילוי תנאים להפקדה</v>
      </c>
      <c r="F461" t="str">
        <v>כן</v>
      </c>
      <c r="G461" t="str">
        <v>כן</v>
      </c>
      <c r="H461" t="str">
        <v>כן</v>
      </c>
      <c r="I461">
        <f>=HYPERLINK("https://mavat.iplan.gov.il/SV4/1/2000949101/310")</f>
      </c>
    </row>
    <row r="462">
      <c r="A462" t="str">
        <v>405-1043900</v>
      </c>
      <c r="B462" t="str">
        <v>תכנית שימור לעיר כפר סבא</v>
      </c>
      <c r="C462" t="str">
        <v>מחוזית</v>
      </c>
      <c r="D462" t="str">
        <v>כפר סבא</v>
      </c>
      <c r="E462" t="str">
        <v>במילוי תנאים להפקדה</v>
      </c>
      <c r="F462" t="str">
        <v>כן</v>
      </c>
      <c r="G462" t="str">
        <v>כן</v>
      </c>
      <c r="H462" t="str">
        <v>כן</v>
      </c>
      <c r="I462">
        <f>=HYPERLINK("https://mavat.iplan.gov.il/SV4/1/4005198218/310")</f>
      </c>
    </row>
    <row r="463">
      <c r="A463" t="str">
        <v>651-0774455</v>
      </c>
      <c r="B463" t="str">
        <v>מועצה אזורית מרחבים - תכנית מתאר כוללנית</v>
      </c>
      <c r="C463" t="str">
        <v>מחוזית</v>
      </c>
      <c r="D463" t="str">
        <v>נגב מערבי</v>
      </c>
      <c r="E463" t="str">
        <v>במילוי תנאים להפקדה</v>
      </c>
      <c r="F463" t="str">
        <v>כן</v>
      </c>
      <c r="G463" t="str">
        <v>כן</v>
      </c>
      <c r="H463" t="str">
        <v>כן</v>
      </c>
      <c r="I463">
        <f>=HYPERLINK("https://mavat.iplan.gov.il/SV4/1/6001019385/310")</f>
      </c>
    </row>
    <row r="464">
      <c r="A464" t="str">
        <v>603-0725374</v>
      </c>
      <c r="B464" t="str">
        <v>רובע מעורב אשדוד</v>
      </c>
      <c r="C464" t="str">
        <v>מחוזית</v>
      </c>
      <c r="D464" t="str">
        <v>אשדוד</v>
      </c>
      <c r="E464" t="str">
        <v>במילוי תנאים להפקדה</v>
      </c>
      <c r="F464" t="str">
        <v>כן</v>
      </c>
      <c r="G464" t="str">
        <v>כן</v>
      </c>
      <c r="H464" t="str">
        <v>כן</v>
      </c>
      <c r="I464">
        <f>=HYPERLINK("https://mavat.iplan.gov.il/SV4/1/6000988697/310")</f>
      </c>
    </row>
    <row r="465">
      <c r="A465" t="str">
        <v>457-0434621</v>
      </c>
      <c r="B465" t="str">
        <v>אזור תעסוקה - בית ליד</v>
      </c>
      <c r="C465" t="str">
        <v>מחוזית</v>
      </c>
      <c r="D465" t="str">
        <v>כפר יונה,לב השרון,עמק חפר,פרדסיה,שרונים</v>
      </c>
      <c r="E465" t="str">
        <v>במילוי תנאים להפקדה</v>
      </c>
      <c r="F465" t="str">
        <v>כן</v>
      </c>
      <c r="G465" t="str">
        <v>כן</v>
      </c>
      <c r="H465" t="str">
        <v>כן</v>
      </c>
      <c r="I465">
        <f>=HYPERLINK("https://mavat.iplan.gov.il/SV4/1/4000418009/310")</f>
      </c>
    </row>
    <row r="466">
      <c r="A466" t="str">
        <v>תממ/ 2/ 9/ 30</v>
      </c>
      <c r="B466" t="str">
        <v>תכנית מתאר מחוזית - מחוז הצפון, מס' תמ"מ 9/2, שינוי מס' 30 - בקעת סח'נין</v>
      </c>
      <c r="C466" t="str">
        <v>ארצית</v>
      </c>
      <c r="D466" t="str">
        <v>דיר חנא,לב הגליל,משגב,סח'נין,עראבה</v>
      </c>
      <c r="E466" t="str">
        <v>במילוי תנאים להפקדה</v>
      </c>
      <c r="F466" t="str">
        <v>כן</v>
      </c>
      <c r="G466" t="str">
        <v>כן</v>
      </c>
      <c r="H466" t="str">
        <v>לא</v>
      </c>
      <c r="I466">
        <f>=HYPERLINK("https://mavat.iplan.gov.il/SV4/1/99005132574/310")</f>
      </c>
    </row>
    <row r="467">
      <c r="A467" t="str">
        <v>255-0842302</v>
      </c>
      <c r="B467" t="str">
        <v>מושב מעונה - בית אבות</v>
      </c>
      <c r="C467" t="str">
        <v>מחוזית</v>
      </c>
      <c r="D467" t="str">
        <v>מעונה,מעלה הגליל,מעלה יוסף</v>
      </c>
      <c r="E467" t="str">
        <v>במילוי תנאים להפקדה</v>
      </c>
      <c r="F467" t="str">
        <v>כן</v>
      </c>
      <c r="G467" t="str">
        <v>כן</v>
      </c>
      <c r="H467" t="str">
        <v>כן</v>
      </c>
      <c r="I467">
        <f>=HYPERLINK("https://mavat.iplan.gov.il/SV4/1/2005060016/310")</f>
      </c>
    </row>
    <row r="468">
      <c r="A468" t="str">
        <v>410-0491563</v>
      </c>
      <c r="B468" t="str">
        <v>פת/2040 - תכנית מתאר מקומית כוללנית פתח תקווה</v>
      </c>
      <c r="C468" t="str">
        <v>מחוזית</v>
      </c>
      <c r="D468" t="str">
        <v>פתח תקוה</v>
      </c>
      <c r="E468" t="str">
        <v>במילוי תנאים להפקדה</v>
      </c>
      <c r="F468" t="str">
        <v>כן</v>
      </c>
      <c r="G468" t="str">
        <v>כן</v>
      </c>
      <c r="H468" t="str">
        <v>כן</v>
      </c>
      <c r="I468">
        <f>=HYPERLINK("https://mavat.iplan.gov.il/SV4/1/4000630589/310")</f>
      </c>
    </row>
    <row r="469">
      <c r="A469" t="str">
        <v>251-0876623</v>
      </c>
      <c r="B469" t="str">
        <v>בית ספר כתולי - מג'אר</v>
      </c>
      <c r="C469" t="str">
        <v>מחוזית</v>
      </c>
      <c r="D469" t="str">
        <v>הגליל המזרחי,מג'אר</v>
      </c>
      <c r="E469" t="str">
        <v>במילוי תנאים להפקדה</v>
      </c>
      <c r="F469" t="str">
        <v>כן</v>
      </c>
      <c r="G469" t="str">
        <v>כן</v>
      </c>
      <c r="H469" t="str">
        <v>כן</v>
      </c>
      <c r="I469">
        <f>=HYPERLINK("https://mavat.iplan.gov.il/SV4/1/2005079534/310")</f>
      </c>
    </row>
    <row r="470">
      <c r="A470" t="str">
        <v>457-0497610</v>
      </c>
      <c r="B470" t="str">
        <v>תכנית מתאר מקומית כוללנית אבן יהודה</v>
      </c>
      <c r="C470" t="str">
        <v>מחוזית</v>
      </c>
      <c r="D470" t="str">
        <v>אבן יהודה,שרונים</v>
      </c>
      <c r="E470" t="str">
        <v>במילוי תנאים להפקדה</v>
      </c>
      <c r="F470" t="str">
        <v>כן</v>
      </c>
      <c r="G470" t="str">
        <v>כן</v>
      </c>
      <c r="H470" t="str">
        <v>כן</v>
      </c>
      <c r="I470">
        <f>=HYPERLINK("https://mavat.iplan.gov.il/SV4/1/4000659629/310")</f>
      </c>
    </row>
    <row r="471">
      <c r="A471" t="str">
        <v>353-0857771</v>
      </c>
      <c r="B471" t="str">
        <v>תיירות חקלאית בדרום בנימינה</v>
      </c>
      <c r="C471" t="str">
        <v>מחוזית</v>
      </c>
      <c r="D471" t="str">
        <v>בנימינה-גבעת עדה,יישובי הברון</v>
      </c>
      <c r="E471" t="str">
        <v>במילוי תנאים להפקדה</v>
      </c>
      <c r="F471" t="str">
        <v>כן</v>
      </c>
      <c r="G471" t="str">
        <v>כן</v>
      </c>
      <c r="H471" t="str">
        <v>כן</v>
      </c>
      <c r="I471">
        <f>=HYPERLINK("https://mavat.iplan.gov.il/SV4/1/3005068412/310")</f>
      </c>
    </row>
    <row r="472">
      <c r="A472" t="str">
        <v>260-0801936</v>
      </c>
      <c r="B472" t="str">
        <v>תכנית מתאר מג'ד אל-כרום</v>
      </c>
      <c r="C472" t="str">
        <v>מחוזית</v>
      </c>
      <c r="D472" t="str">
        <v>בקעת בית הכרם,מג'ד אל כרום,משגב</v>
      </c>
      <c r="E472" t="str">
        <v>במילוי תנאים להפקדה</v>
      </c>
      <c r="F472" t="str">
        <v>כן</v>
      </c>
      <c r="G472" t="str">
        <v>כן</v>
      </c>
      <c r="H472" t="str">
        <v>כן</v>
      </c>
      <c r="I472">
        <f>=HYPERLINK("https://mavat.iplan.gov.il/SV4/1/2005035884/310")</f>
      </c>
    </row>
    <row r="473">
      <c r="A473" t="str">
        <v>457-0455113</v>
      </c>
      <c r="B473" t="str">
        <v>מתאר כוללנית כפר יונה</v>
      </c>
      <c r="C473" t="str">
        <v>מחוזית</v>
      </c>
      <c r="D473" t="str">
        <v>כפר יונה</v>
      </c>
      <c r="E473" t="str">
        <v>במילוי תנאים להפקדה</v>
      </c>
      <c r="F473" t="str">
        <v>כן</v>
      </c>
      <c r="G473" t="str">
        <v>כן</v>
      </c>
      <c r="H473" t="str">
        <v>כן</v>
      </c>
      <c r="I473">
        <f>=HYPERLINK("https://mavat.iplan.gov.il/SV4/1/4000428969/310")</f>
      </c>
    </row>
    <row r="474">
      <c r="A474" t="str">
        <v>618-0629659</v>
      </c>
      <c r="B474" t="str">
        <v>תכנית מתאר כוללנית רהט</v>
      </c>
      <c r="C474" t="str">
        <v>מחוזית</v>
      </c>
      <c r="D474" t="str">
        <v>בני שמעון,רהט</v>
      </c>
      <c r="E474" t="str">
        <v>במילוי תנאים להפקדה</v>
      </c>
      <c r="F474" t="str">
        <v>כן</v>
      </c>
      <c r="G474" t="str">
        <v>כן</v>
      </c>
      <c r="H474" t="str">
        <v>כן</v>
      </c>
      <c r="I474">
        <f>=HYPERLINK("https://mavat.iplan.gov.il/SV4/1/6000930229/310")</f>
      </c>
    </row>
    <row r="475">
      <c r="A475" t="str">
        <v>417-0522607</v>
      </c>
      <c r="B475" t="str">
        <v>תכנית מתאר כוללנית מועצה אזורית דרום השרון</v>
      </c>
      <c r="C475" t="str">
        <v>מחוזית</v>
      </c>
      <c r="D475" t="str">
        <v>דרום השרון</v>
      </c>
      <c r="E475" t="str">
        <v>במילוי תנאים להפקדה</v>
      </c>
      <c r="F475" t="str">
        <v>כן</v>
      </c>
      <c r="G475" t="str">
        <v>כן</v>
      </c>
      <c r="H475" t="str">
        <v>כן</v>
      </c>
      <c r="I475">
        <f>=HYPERLINK("https://mavat.iplan.gov.il/SV4/1/4000810587/310")</f>
      </c>
    </row>
    <row r="476">
      <c r="A476" t="str">
        <v>408-0529461</v>
      </c>
      <c r="B476" t="str">
        <v>הארכת תוקף הלפרין נת/34/548/ד</v>
      </c>
      <c r="C476" t="str">
        <v>מקומית</v>
      </c>
      <c r="D476" t="str">
        <v>נתניה</v>
      </c>
      <c r="E476" t="str">
        <v>במילוי תנאים להפקדה</v>
      </c>
      <c r="F476" t="str">
        <v>כן</v>
      </c>
      <c r="G476" t="str">
        <v>כן</v>
      </c>
      <c r="H476" t="str">
        <v>כן</v>
      </c>
      <c r="I476">
        <f>=HYPERLINK("https://mavat.iplan.gov.il/SV4/1/4000864677/310")</f>
      </c>
    </row>
    <row r="477">
      <c r="A477" t="str">
        <v>408-0529511</v>
      </c>
      <c r="B477" t="str">
        <v>פינוי בינוי הרב קוק- הארכת תוקף</v>
      </c>
      <c r="C477" t="str">
        <v>מקומית</v>
      </c>
      <c r="D477" t="str">
        <v>נתניה</v>
      </c>
      <c r="E477" t="str">
        <v>במילוי תנאים להפקדה</v>
      </c>
      <c r="F477" t="str">
        <v>כן</v>
      </c>
      <c r="G477" t="str">
        <v>כן</v>
      </c>
      <c r="H477" t="str">
        <v>כן</v>
      </c>
      <c r="I477">
        <f>=HYPERLINK("https://mavat.iplan.gov.il/SV4/1/4000864887/310")</f>
      </c>
    </row>
    <row r="478">
      <c r="A478" t="str">
        <v>יוש/ 3/ 839</v>
      </c>
      <c r="B478" t="str">
        <v>יוש/ 3/ 839</v>
      </c>
      <c r="C478" t="str">
        <v>יו"ש -ועדה מחוזית לתכנון ערים, כפרים ומבנים</v>
      </c>
      <c r="D478" t="str">
        <v>מחוזית - אזור יהודה ושומרון</v>
      </c>
      <c r="E478" t="str">
        <v>במילוי תנאים להפקדה</v>
      </c>
      <c r="F478" t="str">
        <v>כן</v>
      </c>
      <c r="G478" t="str">
        <v>כן</v>
      </c>
      <c r="H478" t="str">
        <v>לא</v>
      </c>
      <c r="I478">
        <f>=HYPERLINK("https://mavat.iplan.gov.il/SV4/1/7000266419/310")</f>
      </c>
    </row>
    <row r="479">
      <c r="A479" t="str">
        <v>222-0207597</v>
      </c>
      <c r="B479" t="str">
        <v>התחדשות עירונית, אזור מלאכה, יקנעם עילית</v>
      </c>
      <c r="C479" t="str">
        <v>מקומית</v>
      </c>
      <c r="D479" t="str">
        <v>יקנעם עילית</v>
      </c>
      <c r="E479" t="str">
        <v>במילוי תנאים להפקדה</v>
      </c>
      <c r="F479" t="str">
        <v>כן</v>
      </c>
      <c r="G479" t="str">
        <v>כן</v>
      </c>
      <c r="H479" t="str">
        <v>כן</v>
      </c>
      <c r="I479">
        <f>=HYPERLINK("https://mavat.iplan.gov.il/SV4/1/2000305097/310")</f>
      </c>
    </row>
    <row r="480">
      <c r="A480" t="str">
        <v>יוש/ 4/ 832</v>
      </c>
      <c r="B480" t="str">
        <v>דרך אזורית 356 והתחברות הקטע כפר זיף</v>
      </c>
      <c r="C480" t="str">
        <v>יו"ש -ועדה מחוזית לתכנון ערים, כפרים ומבנים</v>
      </c>
      <c r="D480" t="str">
        <v>מחוזית - אזור יהודה ושומרון</v>
      </c>
      <c r="E480" t="str">
        <v>במילוי תנאים להפקדה</v>
      </c>
      <c r="F480" t="str">
        <v>לא</v>
      </c>
      <c r="G480" t="str">
        <v>לא</v>
      </c>
      <c r="H480" t="str">
        <v>לא</v>
      </c>
      <c r="I480">
        <f>=HYPERLINK("https://mavat.iplan.gov.il/SV4/1/7000265493/310")</f>
      </c>
    </row>
    <row r="481">
      <c r="A481" t="str">
        <v>יוש/ 36/ 52</v>
      </c>
      <c r="B481" t="str">
        <v>אתר כריה וחציבה בית פג'אר מזרח</v>
      </c>
      <c r="C481" t="str">
        <v>יו"ש -ועדה מחוזית לתכנון ערים, כפרים ומבנים</v>
      </c>
      <c r="D481" t="str">
        <v>מחוזית - אזור יהודה ושומרון</v>
      </c>
      <c r="E481" t="str">
        <v>במילוי תנאים להפקדה</v>
      </c>
      <c r="F481" t="str">
        <v>לא</v>
      </c>
      <c r="G481" t="str">
        <v>לא</v>
      </c>
      <c r="H481" t="str">
        <v>לא</v>
      </c>
      <c r="I481">
        <f>=HYPERLINK("https://mavat.iplan.gov.il/SV4/1/7000262303/310")</f>
      </c>
    </row>
    <row r="482">
      <c r="A482" t="str">
        <v>יוש/ 2/ 205</v>
      </c>
      <c r="B482" t="str">
        <v>שבות רחל - יישוב שילה</v>
      </c>
      <c r="C482" t="str">
        <v>יו"ש -מועצת התכנון העליונה</v>
      </c>
      <c r="D482" t="str">
        <v>מטה בנימין,שילה</v>
      </c>
      <c r="E482" t="str">
        <v>במילוי תנאים להפקדה</v>
      </c>
      <c r="F482" t="str">
        <v>לא</v>
      </c>
      <c r="G482" t="str">
        <v>לא</v>
      </c>
      <c r="H482" t="str">
        <v>לא</v>
      </c>
      <c r="I482">
        <f>=HYPERLINK("https://mavat.iplan.gov.il/SV4/1/7000268633/310")</f>
      </c>
    </row>
    <row r="483">
      <c r="A483" t="str">
        <v>2000</v>
      </c>
      <c r="B483" t="str">
        <v>תכנית מתאר ירושלים</v>
      </c>
      <c r="C483" t="str">
        <v>מחוזית</v>
      </c>
      <c r="D483" t="str">
        <v>ירושלים</v>
      </c>
      <c r="E483" t="str">
        <v>במילוי תנאים להפקדה</v>
      </c>
      <c r="F483" t="str">
        <v>לא</v>
      </c>
      <c r="G483" t="str">
        <v>כן</v>
      </c>
      <c r="H483" t="str">
        <v>לא</v>
      </c>
      <c r="I483">
        <f>=HYPERLINK("https://mavat.iplan.gov.il/SV4/1/1077721/310")</f>
      </c>
    </row>
    <row r="484">
      <c r="A484" t="str">
        <v>יוש/ 957</v>
      </c>
      <c r="B484" t="str">
        <v>דרך  כניסה  המזרחית לאל בירה</v>
      </c>
      <c r="C484" t="str">
        <v>יו"ש -ועדה מחוזית לתכנון ערים, כפרים ומבנים</v>
      </c>
      <c r="D484" t="str">
        <v>מחוזית - אזור יהודה ושומרון</v>
      </c>
      <c r="E484" t="str">
        <v>במילוי תנאים להפקדה</v>
      </c>
      <c r="F484" t="str">
        <v>לא</v>
      </c>
      <c r="G484" t="str">
        <v>לא</v>
      </c>
      <c r="H484" t="str">
        <v>לא</v>
      </c>
      <c r="I484">
        <f>=HYPERLINK("https://mavat.iplan.gov.il/SV4/1/7000265465/310")</f>
      </c>
    </row>
    <row r="485">
      <c r="A485" t="str">
        <v>תממ/ 2/ 40</v>
      </c>
      <c r="B485" t="str">
        <v>תכנית מתאר מחוזית, מחוז הצפון, תמ"מ 2, שינוי מס' 40 - רמת ארבל - ישוב חדש</v>
      </c>
      <c r="C485" t="str">
        <v>ארצית</v>
      </c>
      <c r="D485" t="str">
        <v>הגליל התחתון</v>
      </c>
      <c r="E485" t="str">
        <v>במילוי תנאים להפקדה</v>
      </c>
      <c r="F485" t="str">
        <v>לא</v>
      </c>
      <c r="G485" t="str">
        <v>לא</v>
      </c>
      <c r="H485" t="str">
        <v>לא</v>
      </c>
      <c r="I485">
        <f>=HYPERLINK("https://mavat.iplan.gov.il/SV4/1/99005116/310")</f>
      </c>
    </row>
    <row r="486">
      <c r="A486" t="str">
        <v>ג/ 14897</v>
      </c>
      <c r="B486" t="str">
        <v>שנוי יעוד משטח חקלאי לשכונת מגורים ב', ירכא</v>
      </c>
      <c r="C486" t="str">
        <v>מחוזית</v>
      </c>
      <c r="D486" t="str">
        <v>הגליל המרכזי,ירכא</v>
      </c>
      <c r="E486" t="str">
        <v>במילוי תנאים להפקדה</v>
      </c>
      <c r="F486" t="str">
        <v>לא</v>
      </c>
      <c r="G486" t="str">
        <v>לא</v>
      </c>
      <c r="H486" t="str">
        <v>לא</v>
      </c>
      <c r="I486">
        <f>=HYPERLINK("https://mavat.iplan.gov.il/SV4/1/2100522/310")</f>
      </c>
    </row>
    <row r="487">
      <c r="A487" t="str">
        <v>ג/ 15000</v>
      </c>
      <c r="B487" t="str">
        <v>שינוי יעוד משטח חקלאי למגורים ב', שטח בנייני ציבור, ירכא</v>
      </c>
      <c r="C487" t="str">
        <v>מחוזית</v>
      </c>
      <c r="D487" t="str">
        <v>הגליל המרכזי,ירכא</v>
      </c>
      <c r="E487" t="str">
        <v>במילוי תנאים להפקדה</v>
      </c>
      <c r="F487" t="str">
        <v>לא</v>
      </c>
      <c r="G487" t="str">
        <v>לא</v>
      </c>
      <c r="H487" t="str">
        <v>לא</v>
      </c>
      <c r="I487">
        <f>=HYPERLINK("https://mavat.iplan.gov.il/SV4/1/2100763/310")</f>
      </c>
    </row>
    <row r="488">
      <c r="A488" t="str">
        <v>יוש/ 2/ 315</v>
      </c>
      <c r="B488" t="str">
        <v>פצאל</v>
      </c>
      <c r="C488" t="str">
        <v>יו"ש -מועצת התכנון העליונה</v>
      </c>
      <c r="D488" t="str">
        <v>ערבות הירדן,פצאל</v>
      </c>
      <c r="E488" t="str">
        <v>במילוי תנאים להפקדה</v>
      </c>
      <c r="F488" t="str">
        <v>לא</v>
      </c>
      <c r="G488" t="str">
        <v>לא</v>
      </c>
      <c r="H488" t="str">
        <v>לא</v>
      </c>
      <c r="I488">
        <f>=HYPERLINK("https://mavat.iplan.gov.il/SV4/1/7000283061/310")</f>
      </c>
    </row>
    <row r="489">
      <c r="A489" t="str">
        <v>יוש/ 2/ 316</v>
      </c>
      <c r="B489" t="str">
        <v>תומר</v>
      </c>
      <c r="C489" t="str">
        <v>יו"ש -מועצת התכנון העליונה</v>
      </c>
      <c r="D489" t="str">
        <v>ערבות הירדן,תומר</v>
      </c>
      <c r="E489" t="str">
        <v>במילוי תנאים להפקדה</v>
      </c>
      <c r="F489" t="str">
        <v>לא</v>
      </c>
      <c r="G489" t="str">
        <v>לא</v>
      </c>
      <c r="H489" t="str">
        <v>לא</v>
      </c>
      <c r="I489">
        <f>=HYPERLINK("https://mavat.iplan.gov.il/SV4/1/7000283067/310")</f>
      </c>
    </row>
    <row r="490">
      <c r="A490" t="str">
        <v>יוש/ 3/ 51</v>
      </c>
      <c r="B490" t="str">
        <v>שומרת טבע הר כביר</v>
      </c>
      <c r="C490" t="str">
        <v>יו"ש -ועדה מחוזית לתכנון ערים, כפרים ומבנים</v>
      </c>
      <c r="D490" t="str">
        <v>מחוזית - אזור יהודה ושומרון</v>
      </c>
      <c r="E490" t="str">
        <v>במילוי תנאים להפקדה</v>
      </c>
      <c r="F490" t="str">
        <v>כן</v>
      </c>
      <c r="G490" t="str">
        <v>כן</v>
      </c>
      <c r="H490" t="str">
        <v>לא</v>
      </c>
      <c r="I490">
        <f>=HYPERLINK("https://mavat.iplan.gov.il/SV4/1/7000332661/310")</f>
      </c>
    </row>
  </sheetData>
  <ignoredErrors>
    <ignoredError numberStoredAsText="1" sqref="A1:J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