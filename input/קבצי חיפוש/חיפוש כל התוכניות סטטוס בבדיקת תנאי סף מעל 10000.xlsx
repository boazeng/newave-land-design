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Na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"/>
  <sheetViews>
    <sheetView workbookViewId="0" rightToLeft="1"/>
  </sheetViews>
  <cols>
    <col min="1" max="1" customWidth="1" width="25"/>
    <col min="2" max="2" customWidth="1" width="50"/>
    <col min="3" max="3" customWidth="1" width="43"/>
    <col min="4" max="4" customWidth="1" width="35"/>
    <col min="5" max="5" customWidth="1" width="14"/>
    <col min="6" max="6" customWidth="1" width="6"/>
    <col min="7" max="7" customWidth="1" width="5"/>
    <col min="8" max="8" customWidth="1" width="6"/>
    <col min="9" max="9" customWidth="1" width="48"/>
    <col min="10" max="10" customWidth="1" width="12"/>
  </cols>
  <sheetData>
    <row r="1">
      <c r="A1" t="str">
        <v>מספר תכנית</v>
      </c>
      <c r="B1" t="str">
        <v>שם תכנית</v>
      </c>
      <c r="C1" t="str">
        <v>סמכות</v>
      </c>
      <c r="D1" t="str">
        <v>מיקום</v>
      </c>
      <c r="E1" t="str">
        <v>סטטוס</v>
      </c>
      <c r="F1" t="str">
        <v>הוראות</v>
      </c>
      <c r="G1" t="str">
        <v>תשריט</v>
      </c>
      <c r="H1" t="str">
        <v>מקוונת</v>
      </c>
      <c r="I1" t="str">
        <v>קישור לתכנית</v>
      </c>
      <c r="J1" t="str">
        <v xml:space="preserve">תאריך אישור </v>
      </c>
    </row>
    <row r="2">
      <c r="A2" t="str">
        <v>10/ מק/ 1044</v>
      </c>
      <c r="B2" t="str">
        <v>מפעלי ים המלח - הסדרת מגרש למסמיכים</v>
      </c>
      <c r="C2" t="str">
        <v>מקומית</v>
      </c>
      <c r="D2" t="str">
        <v>סדום(מפעלי ים המלח),תמר</v>
      </c>
      <c r="E2" t="str">
        <v>בבדיקת תנאי סף</v>
      </c>
      <c r="F2" t="str">
        <v>לא</v>
      </c>
      <c r="G2" t="str">
        <v>לא</v>
      </c>
      <c r="H2" t="str">
        <v>לא</v>
      </c>
      <c r="I2">
        <f>=HYPERLINK("https://mavat.iplan.gov.il/SV4/1/6000256611/310")</f>
      </c>
    </row>
    <row r="3">
      <c r="A3" t="str">
        <v>10/ מק/ 1045</v>
      </c>
      <c r="B3" t="str">
        <v>שטח לכריית חלוקי נחל - גורר מזרח - עדכון עומקי חציבה</v>
      </c>
      <c r="C3" t="str">
        <v>מקומית</v>
      </c>
      <c r="D3" t="str">
        <v>תמר</v>
      </c>
      <c r="E3" t="str">
        <v>בבדיקת תנאי סף</v>
      </c>
      <c r="F3" t="str">
        <v>לא</v>
      </c>
      <c r="G3" t="str">
        <v>לא</v>
      </c>
      <c r="H3" t="str">
        <v>לא</v>
      </c>
      <c r="I3">
        <f>=HYPERLINK("https://mavat.iplan.gov.il/SV4/1/6000252535/310")</f>
      </c>
    </row>
    <row r="4">
      <c r="A4" t="str">
        <v>15/ מק/ 2037</v>
      </c>
      <c r="B4" t="str">
        <v>מגורים ברחוב רעים 12 , מיתר</v>
      </c>
      <c r="C4" t="str">
        <v>מקומית</v>
      </c>
      <c r="D4" t="str">
        <v>מיתר</v>
      </c>
      <c r="E4" t="str">
        <v>בבדיקת תנאי סף</v>
      </c>
      <c r="F4" t="str">
        <v>לא</v>
      </c>
      <c r="G4" t="str">
        <v>לא</v>
      </c>
      <c r="H4" t="str">
        <v>לא</v>
      </c>
      <c r="I4">
        <f>=HYPERLINK("https://mavat.iplan.gov.il/SV4/1/6000255267/310")</f>
      </c>
    </row>
    <row r="5">
      <c r="A5" t="str">
        <v>21/ מק/ 2019</v>
      </c>
      <c r="B5" t="str">
        <v>שינוי מיקום שטחים למבני ציבור ושצ"פ - שדרות</v>
      </c>
      <c r="C5" t="str">
        <v>מקומית</v>
      </c>
      <c r="D5" t="str">
        <v>שדרות</v>
      </c>
      <c r="E5" t="str">
        <v>בבדיקת תנאי סף</v>
      </c>
      <c r="F5" t="str">
        <v>לא</v>
      </c>
      <c r="G5" t="str">
        <v>לא</v>
      </c>
      <c r="H5" t="str">
        <v>לא</v>
      </c>
      <c r="I5">
        <f>=HYPERLINK("https://mavat.iplan.gov.il/SV4/1/6047256/310")</f>
      </c>
    </row>
    <row r="6">
      <c r="A6" t="str">
        <v>215-1076801</v>
      </c>
      <c r="B6" t="str">
        <v>הגדרת זכויות בניה דרום העיר- עפולה</v>
      </c>
      <c r="C6" t="str">
        <v>מקומית</v>
      </c>
      <c r="D6" t="str">
        <v>עפולה</v>
      </c>
      <c r="E6" t="str">
        <v>בבדיקת תנאי סף</v>
      </c>
      <c r="F6" t="str">
        <v>כן</v>
      </c>
      <c r="G6" t="str">
        <v>כן</v>
      </c>
      <c r="H6" t="str">
        <v>כן</v>
      </c>
      <c r="I6">
        <f>=HYPERLINK("https://mavat.iplan.gov.il/SV4/1/2005217342/310")</f>
      </c>
    </row>
    <row r="7">
      <c r="A7" t="str">
        <v>22/ מק/ 2039/ א</v>
      </c>
      <c r="B7" t="str">
        <v>מגרשים 153-158, 708 שכונת החורש נתיבות</v>
      </c>
      <c r="C7" t="str">
        <v>מקומית</v>
      </c>
      <c r="D7" t="str">
        <v>נתיבות</v>
      </c>
      <c r="E7" t="str">
        <v>בבדיקת תנאי סף</v>
      </c>
      <c r="F7" t="str">
        <v>לא</v>
      </c>
      <c r="G7" t="str">
        <v>לא</v>
      </c>
      <c r="H7" t="str">
        <v>לא</v>
      </c>
      <c r="I7">
        <f>=HYPERLINK("https://mavat.iplan.gov.il/SV4/1/6000221681/310")</f>
      </c>
    </row>
    <row r="8">
      <c r="A8" t="str">
        <v>224-1338953</v>
      </c>
      <c r="B8" t="str">
        <v>אזור תעשיה ומלאכה ואחסנה מושב אליעד</v>
      </c>
      <c r="C8" t="str">
        <v>מקומית</v>
      </c>
      <c r="D8" t="str">
        <v>אלי-עד,גולן</v>
      </c>
      <c r="E8" t="str">
        <v>בבדיקת תנאי סף</v>
      </c>
      <c r="F8" t="str">
        <v>כן</v>
      </c>
      <c r="G8" t="str">
        <v>כן</v>
      </c>
      <c r="H8" t="str">
        <v>כן</v>
      </c>
      <c r="I8">
        <f>=HYPERLINK("https://mavat.iplan.gov.il/SV4/1/2005382772/310")</f>
      </c>
    </row>
    <row r="9">
      <c r="A9" t="str">
        <v>224-1374230</v>
      </c>
      <c r="B9" t="str">
        <v>נווה אטיב בית מלון פנדה</v>
      </c>
      <c r="C9" t="str">
        <v>מקומית</v>
      </c>
      <c r="D9" t="str">
        <v>גולן,מרחב הגולן</v>
      </c>
      <c r="E9" t="str">
        <v>בבדיקת תנאי סף</v>
      </c>
      <c r="F9" t="str">
        <v>כן</v>
      </c>
      <c r="G9" t="str">
        <v>כן</v>
      </c>
      <c r="H9" t="str">
        <v>כן</v>
      </c>
      <c r="I9">
        <f>=HYPERLINK("https://mavat.iplan.gov.il/SV4/1/2005405196/310")</f>
      </c>
    </row>
    <row r="10">
      <c r="A10" t="str">
        <v>25/ מק/ 1075</v>
      </c>
      <c r="B10" t="str">
        <v>שינויים תכנוניים במגרשים 748, 747, 400 בשכונת ממשית דימונה</v>
      </c>
      <c r="C10" t="str">
        <v>מקומית</v>
      </c>
      <c r="D10" t="str">
        <v>דימונה</v>
      </c>
      <c r="E10" t="str">
        <v>בבדיקת תנאי סף</v>
      </c>
      <c r="F10" t="str">
        <v>לא</v>
      </c>
      <c r="G10" t="str">
        <v>לא</v>
      </c>
      <c r="H10" t="str">
        <v>לא</v>
      </c>
      <c r="I10">
        <f>=HYPERLINK("https://mavat.iplan.gov.il/SV4/1/6000250967/310")</f>
      </c>
    </row>
    <row r="11">
      <c r="A11" t="str">
        <v>254-0329953</v>
      </c>
      <c r="B11" t="str">
        <v>שינוי יעוד לשירותי דרך - כביש 7912</v>
      </c>
      <c r="C11" t="str">
        <v>מקומית</v>
      </c>
      <c r="D11" t="str">
        <v>יזרעאלים,כעביה טבאש-חג'אג'</v>
      </c>
      <c r="E11" t="str">
        <v>בבדיקת תנאי סף</v>
      </c>
      <c r="F11" t="str">
        <v>כן</v>
      </c>
      <c r="G11" t="str">
        <v>כן</v>
      </c>
      <c r="H11" t="str">
        <v>כן</v>
      </c>
      <c r="I11">
        <f>=HYPERLINK("https://mavat.iplan.gov.il/SV4/1/2000365213/310")</f>
      </c>
    </row>
    <row r="12">
      <c r="A12" t="str">
        <v>401-0891440</v>
      </c>
      <c r="B12" t="str">
        <v>קיבוץ געש - שינויים באזור התעסוקה</v>
      </c>
      <c r="C12" t="str">
        <v>מקומית</v>
      </c>
      <c r="D12" t="str">
        <v>געש,חוף השרון</v>
      </c>
      <c r="E12" t="str">
        <v>בבדיקת תנאי סף</v>
      </c>
      <c r="F12" t="str">
        <v>כן</v>
      </c>
      <c r="G12" t="str">
        <v>כן</v>
      </c>
      <c r="H12" t="str">
        <v>כן</v>
      </c>
      <c r="I12">
        <f>=HYPERLINK("https://mavat.iplan.gov.il/SV4/1/4005088880/310")</f>
      </c>
    </row>
    <row r="13">
      <c r="A13" t="str">
        <v>401-0896035</v>
      </c>
      <c r="B13" t="str">
        <v>שינוי גיאומטרי בנחלה 18 בבני ציון</v>
      </c>
      <c r="C13" t="str">
        <v>מקומית</v>
      </c>
      <c r="D13" t="str">
        <v>בני ציון,חוף השרון</v>
      </c>
      <c r="E13" t="str">
        <v>בבדיקת תנאי סף</v>
      </c>
      <c r="F13" t="str">
        <v>כן</v>
      </c>
      <c r="G13" t="str">
        <v>כן</v>
      </c>
      <c r="H13" t="str">
        <v>כן</v>
      </c>
      <c r="I13">
        <f>=HYPERLINK("https://mavat.iplan.gov.il/SV4/1/4005092022/310")</f>
      </c>
    </row>
    <row r="14">
      <c r="A14" t="str">
        <v>5/ מק/ 2274</v>
      </c>
      <c r="B14" t="str">
        <v>מגרש מס' 93 - באר שבע</v>
      </c>
      <c r="C14" t="str">
        <v>מקומית</v>
      </c>
      <c r="D14" t="str">
        <v>באר שבע</v>
      </c>
      <c r="E14" t="str">
        <v>בבדיקת תנאי סף</v>
      </c>
      <c r="F14" t="str">
        <v>לא</v>
      </c>
      <c r="G14" t="str">
        <v>לא</v>
      </c>
      <c r="H14" t="str">
        <v>לא</v>
      </c>
      <c r="I14">
        <f>=HYPERLINK("https://mavat.iplan.gov.il/SV4/1/6047847/310")</f>
      </c>
    </row>
    <row r="15">
      <c r="A15" t="str">
        <v>554-1113554</v>
      </c>
      <c r="B15" t="str">
        <v>פינוי בינוי מתחם קפלן,  אזור</v>
      </c>
      <c r="C15" t="str">
        <v>מקומית</v>
      </c>
      <c r="D15" t="str">
        <v>אזור</v>
      </c>
      <c r="E15" t="str">
        <v>בבדיקת תנאי סף</v>
      </c>
      <c r="F15" t="str">
        <v>כן</v>
      </c>
      <c r="G15" t="str">
        <v>כן</v>
      </c>
      <c r="H15" t="str">
        <v>כן</v>
      </c>
      <c r="I15">
        <f>=HYPERLINK("https://mavat.iplan.gov.il/SV4/1/5005239972/310")</f>
      </c>
    </row>
    <row r="16">
      <c r="A16" t="str">
        <v>6/ מק/ 2034</v>
      </c>
      <c r="B16" t="str">
        <v>מושב גיאה</v>
      </c>
      <c r="C16" t="str">
        <v>מקומית</v>
      </c>
      <c r="D16" t="str">
        <v>גיאה,חוף אשקלון</v>
      </c>
      <c r="E16" t="str">
        <v>בבדיקת תנאי סף</v>
      </c>
      <c r="F16" t="str">
        <v>לא</v>
      </c>
      <c r="G16" t="str">
        <v>לא</v>
      </c>
      <c r="H16" t="str">
        <v>לא</v>
      </c>
      <c r="I16">
        <f>=HYPERLINK("https://mavat.iplan.gov.il/SV4/1/6047592/310")</f>
      </c>
    </row>
    <row r="17">
      <c r="A17" t="str">
        <v>611-0267492</v>
      </c>
      <c r="B17" t="str">
        <v>חניון צה"ל שדרות</v>
      </c>
      <c r="C17" t="str">
        <v>מקומית</v>
      </c>
      <c r="D17" t="str">
        <v>שדרות</v>
      </c>
      <c r="E17" t="str">
        <v>בבדיקת תנאי סף</v>
      </c>
      <c r="F17" t="str">
        <v>כן</v>
      </c>
      <c r="G17" t="str">
        <v>כן</v>
      </c>
      <c r="H17" t="str">
        <v>כן</v>
      </c>
      <c r="I17">
        <f>=HYPERLINK("https://mavat.iplan.gov.il/SV4/1/6000335667/310")</f>
      </c>
    </row>
    <row r="18">
      <c r="A18" t="str">
        <v>611-0557637</v>
      </c>
      <c r="B18" t="str">
        <v>קרן קיימת 35, שדרות</v>
      </c>
      <c r="C18" t="str">
        <v>מקומית</v>
      </c>
      <c r="D18" t="str">
        <v>שדרות</v>
      </c>
      <c r="E18" t="str">
        <v>בבדיקת תנאי סף</v>
      </c>
      <c r="F18" t="str">
        <v>כן</v>
      </c>
      <c r="G18" t="str">
        <v>כן</v>
      </c>
      <c r="H18" t="str">
        <v>כן</v>
      </c>
      <c r="I18">
        <f>=HYPERLINK("https://mavat.iplan.gov.il/SV4/1/6000891659/310")</f>
      </c>
    </row>
    <row r="19">
      <c r="A19" t="str">
        <v>616-0689034</v>
      </c>
      <c r="B19" t="str">
        <v>באר טוביה - הסדרת שטחי מגורים בנחלות</v>
      </c>
      <c r="C19" t="str">
        <v>מקומית</v>
      </c>
      <c r="D19" t="str">
        <v>באר טוביה</v>
      </c>
      <c r="E19" t="str">
        <v>בבדיקת תנאי סף</v>
      </c>
      <c r="F19" t="str">
        <v>כן</v>
      </c>
      <c r="G19" t="str">
        <v>כן</v>
      </c>
      <c r="H19" t="str">
        <v>כן</v>
      </c>
      <c r="I19">
        <f>=HYPERLINK("https://mavat.iplan.gov.il/SV4/1/6000965257/310")</f>
      </c>
    </row>
    <row r="20">
      <c r="A20" t="str">
        <v>634-0370122</v>
      </c>
      <c r="B20" t="str">
        <v>חלקה 20 בגוש 3090, מושב שחר</v>
      </c>
      <c r="C20" t="str">
        <v>מקומית</v>
      </c>
      <c r="D20" t="str">
        <v>לכיש,שחר</v>
      </c>
      <c r="E20" t="str">
        <v>בבדיקת תנאי סף</v>
      </c>
      <c r="F20" t="str">
        <v>כן</v>
      </c>
      <c r="G20" t="str">
        <v>כן</v>
      </c>
      <c r="H20" t="str">
        <v>כן</v>
      </c>
      <c r="I20">
        <f>=HYPERLINK("https://mavat.iplan.gov.il/SV4/1/6000385397/310")</f>
      </c>
    </row>
    <row r="21">
      <c r="A21" t="str">
        <v>634-0824748</v>
      </c>
      <c r="B21" t="str">
        <v>שינוי קווי בנין בנחלה- מושב מנוחה משק 36</v>
      </c>
      <c r="C21" t="str">
        <v>מקומית</v>
      </c>
      <c r="D21" t="str">
        <v>לכיש,מנוחה</v>
      </c>
      <c r="E21" t="str">
        <v>בבדיקת תנאי סף</v>
      </c>
      <c r="F21" t="str">
        <v>כן</v>
      </c>
      <c r="G21" t="str">
        <v>כן</v>
      </c>
      <c r="H21" t="str">
        <v>כן</v>
      </c>
      <c r="I21">
        <f>=HYPERLINK("https://mavat.iplan.gov.il/SV4/1/6005049558/310")</f>
      </c>
    </row>
    <row r="22">
      <c r="A22" t="str">
        <v>7/ מק/ 2031</v>
      </c>
      <c r="B22" t="str">
        <v>מושב שרשרת</v>
      </c>
      <c r="C22" t="str">
        <v>מקומית</v>
      </c>
      <c r="D22" t="str">
        <v>נגב מערבי,שדות נגב,שרשרת</v>
      </c>
      <c r="E22" t="str">
        <v>בבדיקת תנאי סף</v>
      </c>
      <c r="F22" t="str">
        <v>לא</v>
      </c>
      <c r="G22" t="str">
        <v>לא</v>
      </c>
      <c r="H22" t="str">
        <v>לא</v>
      </c>
      <c r="I22">
        <f>=HYPERLINK("https://mavat.iplan.gov.il/SV4/1/6046854/310")</f>
      </c>
    </row>
    <row r="23">
      <c r="A23" t="str">
        <v>7/ מק/ 2038</v>
      </c>
      <c r="B23" t="str">
        <v>מושב בטחה</v>
      </c>
      <c r="C23" t="str">
        <v>מקומית</v>
      </c>
      <c r="D23" t="str">
        <v>בטחה,מרחבים,נגב מערבי</v>
      </c>
      <c r="E23" t="str">
        <v>בבדיקת תנאי סף</v>
      </c>
      <c r="F23" t="str">
        <v>לא</v>
      </c>
      <c r="G23" t="str">
        <v>לא</v>
      </c>
      <c r="H23" t="str">
        <v>לא</v>
      </c>
      <c r="I23">
        <f>=HYPERLINK("https://mavat.iplan.gov.il/SV4/1/6047558/310")</f>
      </c>
    </row>
    <row r="24">
      <c r="A24" t="str">
        <v>7/ מק/ 2141</v>
      </c>
      <c r="B24" t="str">
        <v>מגרשים 502, 701 (חלקות 135, 138) מרכז מושב רנן</v>
      </c>
      <c r="C24" t="str">
        <v>מקומית</v>
      </c>
      <c r="D24" t="str">
        <v>מרחבים,נגב מערבי,רנן</v>
      </c>
      <c r="E24" t="str">
        <v>בבדיקת תנאי סף</v>
      </c>
      <c r="F24" t="str">
        <v>לא</v>
      </c>
      <c r="G24" t="str">
        <v>לא</v>
      </c>
      <c r="H24" t="str">
        <v>לא</v>
      </c>
      <c r="I24">
        <f>=HYPERLINK("https://mavat.iplan.gov.il/SV4/1/6000217655/310")</f>
      </c>
    </row>
    <row r="25">
      <c r="A25" t="str">
        <v>7/ מק/ 2145</v>
      </c>
      <c r="B25" t="str">
        <v>קיבוץ אור הנר מגורים</v>
      </c>
      <c r="C25" t="str">
        <v>מקומית</v>
      </c>
      <c r="D25" t="str">
        <v>אור הנר,נגב מערבי,שער הנגב</v>
      </c>
      <c r="E25" t="str">
        <v>בבדיקת תנאי סף</v>
      </c>
      <c r="F25" t="str">
        <v>לא</v>
      </c>
      <c r="G25" t="str">
        <v>לא</v>
      </c>
      <c r="H25" t="str">
        <v>לא</v>
      </c>
      <c r="I25">
        <f>=HYPERLINK("https://mavat.iplan.gov.il/SV4/1/6000215489/310")</f>
      </c>
    </row>
    <row r="26">
      <c r="A26" t="str">
        <v>7/ מק/ 2583</v>
      </c>
      <c r="B26" t="str">
        <v>מגרשים A 191 - A 190 שכונה 2 ערערה בנגב</v>
      </c>
      <c r="C26" t="str">
        <v>מקומית</v>
      </c>
      <c r="D26" t="str">
        <v>נגב מזרחי,ערערה בנגב</v>
      </c>
      <c r="E26" t="str">
        <v>בבדיקת תנאי סף</v>
      </c>
      <c r="F26" t="str">
        <v>לא</v>
      </c>
      <c r="G26" t="str">
        <v>לא</v>
      </c>
      <c r="H26" t="str">
        <v>לא</v>
      </c>
      <c r="I26">
        <f>=HYPERLINK("https://mavat.iplan.gov.il/SV4/1/6000269543/310")</f>
      </c>
    </row>
    <row r="27">
      <c r="A27" t="str">
        <v>8/ מע/ מק/ 14431/ 92</v>
      </c>
      <c r="B27" t="str">
        <v>שינוי בהסדרי תנועה וחניה, כפר כנא</v>
      </c>
      <c r="C27" t="str">
        <v>מקומית</v>
      </c>
      <c r="D27" t="str">
        <v>כפר כנא,מבוא העמקים</v>
      </c>
      <c r="E27" t="str">
        <v>בבדיקת תנאי סף</v>
      </c>
      <c r="F27" t="str">
        <v>לא</v>
      </c>
      <c r="G27" t="str">
        <v>לא</v>
      </c>
      <c r="H27" t="str">
        <v>לא</v>
      </c>
      <c r="I27">
        <f>=HYPERLINK("https://mavat.iplan.gov.il/SV4/1/2000202495/310")</f>
      </c>
    </row>
    <row r="28">
      <c r="A28" t="str">
        <v>8/ מק/ 2089</v>
      </c>
      <c r="B28" t="str">
        <v>אזור תעשיה באר טוביה - הרחבת יעודים במגרשים 2001 א ו- 2003 - באר טוביה</v>
      </c>
      <c r="C28" t="str">
        <v>מקומית</v>
      </c>
      <c r="D28" t="str">
        <v>באר טוביה</v>
      </c>
      <c r="E28" t="str">
        <v>בבדיקת תנאי סף</v>
      </c>
      <c r="F28" t="str">
        <v>לא</v>
      </c>
      <c r="G28" t="str">
        <v>לא</v>
      </c>
      <c r="H28" t="str">
        <v>לא</v>
      </c>
      <c r="I28">
        <f>=HYPERLINK("https://mavat.iplan.gov.il/SV4/1/6050795/310")</f>
      </c>
    </row>
    <row r="29">
      <c r="A29" t="str">
        <v>אל/ מק/ 195/ 2/ ד</v>
      </c>
      <c r="B29" t="str">
        <v>.</v>
      </c>
      <c r="C29" t="str">
        <v>מקומית</v>
      </c>
      <c r="D29" t="str">
        <v>אלעד</v>
      </c>
      <c r="E29" t="str">
        <v>בבדיקת תנאי סף</v>
      </c>
      <c r="F29" t="str">
        <v>לא</v>
      </c>
      <c r="G29" t="str">
        <v>לא</v>
      </c>
      <c r="H29" t="str">
        <v>לא</v>
      </c>
      <c r="I29">
        <f>=HYPERLINK("https://mavat.iplan.gov.il/SV4/1/4059432/310")</f>
      </c>
    </row>
    <row r="30">
      <c r="A30" t="str">
        <v>בר/ מק/ 148/ 1</v>
      </c>
      <c r="B30" t="str">
        <v xml:space="preserve"> </v>
      </c>
      <c r="C30" t="str">
        <v>מקומית</v>
      </c>
      <c r="D30" t="str">
        <v>חבל יבנה,ניר גלים,שורקות</v>
      </c>
      <c r="E30" t="str">
        <v>בבדיקת תנאי סף</v>
      </c>
      <c r="F30" t="str">
        <v>לא</v>
      </c>
      <c r="G30" t="str">
        <v>לא</v>
      </c>
      <c r="H30" t="str">
        <v>לא</v>
      </c>
      <c r="I30">
        <f>=HYPERLINK("https://mavat.iplan.gov.il/SV4/1/4061286/310")</f>
      </c>
    </row>
    <row r="31">
      <c r="A31" t="str">
        <v>גו/ מק/ 11120/ 01</v>
      </c>
      <c r="B31" t="str">
        <v>איחוד וחלוקה מגרשים 214-215</v>
      </c>
      <c r="C31" t="str">
        <v>מקומית</v>
      </c>
      <c r="D31" t="str">
        <v>גולן,חד-נס</v>
      </c>
      <c r="E31" t="str">
        <v>בבדיקת תנאי סף</v>
      </c>
      <c r="F31" t="str">
        <v>כן</v>
      </c>
      <c r="G31" t="str">
        <v>כן</v>
      </c>
      <c r="H31" t="str">
        <v>לא</v>
      </c>
      <c r="I31">
        <f>=HYPERLINK("https://mavat.iplan.gov.il/SV4/1/2102180/310")</f>
      </c>
    </row>
    <row r="32">
      <c r="A32" t="str">
        <v>גז/ מק/ 391/ 25</v>
      </c>
      <c r="B32" t="str">
        <v>.</v>
      </c>
      <c r="C32" t="str">
        <v>מקומית</v>
      </c>
      <c r="D32" t="str">
        <v>אחיעזר,שדות דן</v>
      </c>
      <c r="E32" t="str">
        <v>בבדיקת תנאי סף</v>
      </c>
      <c r="F32" t="str">
        <v>לא</v>
      </c>
      <c r="G32" t="str">
        <v>לא</v>
      </c>
      <c r="H32" t="str">
        <v>לא</v>
      </c>
      <c r="I32">
        <f>=HYPERLINK("https://mavat.iplan.gov.il/SV4/1/4052886/310")</f>
      </c>
    </row>
    <row r="33">
      <c r="A33" t="str">
        <v>הר/ מק/ 145/ 5/ ג</v>
      </c>
      <c r="B33" t="str">
        <v>.</v>
      </c>
      <c r="C33" t="str">
        <v>מקומית</v>
      </c>
      <c r="D33" t="str">
        <v>הוד השרון</v>
      </c>
      <c r="E33" t="str">
        <v>בבדיקת תנאי סף</v>
      </c>
      <c r="F33" t="str">
        <v>לא</v>
      </c>
      <c r="G33" t="str">
        <v>לא</v>
      </c>
      <c r="H33" t="str">
        <v>לא</v>
      </c>
      <c r="I33">
        <f>=HYPERLINK("https://mavat.iplan.gov.il/SV4/1/4050692/310")</f>
      </c>
    </row>
    <row r="34">
      <c r="A34" t="str">
        <v>זמ/ מק/ 566/ 8/ 2</v>
      </c>
      <c r="B34" t="str">
        <v xml:space="preserve"> </v>
      </c>
      <c r="C34" t="str">
        <v>מקומית</v>
      </c>
      <c r="D34" t="str">
        <v>גדרה</v>
      </c>
      <c r="E34" t="str">
        <v>בבדיקת תנאי סף</v>
      </c>
      <c r="F34" t="str">
        <v>לא</v>
      </c>
      <c r="G34" t="str">
        <v>לא</v>
      </c>
      <c r="H34" t="str">
        <v>לא</v>
      </c>
      <c r="I34">
        <f>=HYPERLINK("https://mavat.iplan.gov.il/SV4/1/4059783/310")</f>
      </c>
    </row>
    <row r="35">
      <c r="A35" t="str">
        <v>חא/ מק/ 2008/ 5</v>
      </c>
      <c r="B35" t="str">
        <v>הקלה בקו בנין , שבי ציון</v>
      </c>
      <c r="C35" t="str">
        <v>מקומית</v>
      </c>
      <c r="D35" t="str">
        <v>חבל אשר</v>
      </c>
      <c r="E35" t="str">
        <v>בבדיקת תנאי סף</v>
      </c>
      <c r="F35" t="str">
        <v>לא</v>
      </c>
      <c r="G35" t="str">
        <v>לא</v>
      </c>
      <c r="H35" t="str">
        <v>לא</v>
      </c>
      <c r="I35">
        <f>=HYPERLINK("https://mavat.iplan.gov.il/SV4/1/2126913/310")</f>
      </c>
    </row>
    <row r="36">
      <c r="A36" t="str">
        <v>חכ/ מק/ 405/ ש/ 978</v>
      </c>
      <c r="B36" t="str">
        <v>פארק תעשיה צפוני אור עקיבא</v>
      </c>
      <c r="C36" t="str">
        <v>מקומית</v>
      </c>
      <c r="D36" t="str">
        <v>אור עקיבא,חוף הכרמל,יישובי הברון</v>
      </c>
      <c r="E36" t="str">
        <v>בבדיקת תנאי סף</v>
      </c>
      <c r="F36" t="str">
        <v>לא</v>
      </c>
      <c r="G36" t="str">
        <v>לא</v>
      </c>
      <c r="H36" t="str">
        <v>לא</v>
      </c>
      <c r="I36">
        <f>=HYPERLINK("https://mavat.iplan.gov.il/SV4/1/3069437/310")</f>
      </c>
    </row>
    <row r="37">
      <c r="A37" t="str">
        <v>טר/ מק/ 5037</v>
      </c>
      <c r="B37" t="str">
        <v>שינוי לתכנית בר/ טר/ 3005</v>
      </c>
      <c r="C37" t="str">
        <v>מקומית</v>
      </c>
      <c r="D37" t="str">
        <v>טירה</v>
      </c>
      <c r="E37" t="str">
        <v>בבדיקת תנאי סף</v>
      </c>
      <c r="F37" t="str">
        <v>לא</v>
      </c>
      <c r="G37" t="str">
        <v>לא</v>
      </c>
      <c r="H37" t="str">
        <v>לא</v>
      </c>
      <c r="I37">
        <f>=HYPERLINK("https://mavat.iplan.gov.il/SV4/1/4052146/310")</f>
      </c>
    </row>
    <row r="38">
      <c r="A38" t="str">
        <v>יז/ מק/ 4633/ 25</v>
      </c>
      <c r="B38" t="str">
        <v>חלוק למגרשים באזור מגורים א.                      קיבוץ חנתון</v>
      </c>
      <c r="C38" t="str">
        <v>מקומית</v>
      </c>
      <c r="D38" t="str">
        <v>חנתון,יזרעאלים,עמק יזרעאל</v>
      </c>
      <c r="E38" t="str">
        <v>בבדיקת תנאי סף</v>
      </c>
      <c r="F38" t="str">
        <v>לא</v>
      </c>
      <c r="G38" t="str">
        <v>לא</v>
      </c>
      <c r="H38" t="str">
        <v>לא</v>
      </c>
      <c r="I38">
        <f>=HYPERLINK("https://mavat.iplan.gov.il/SV4/1/2087575/310")</f>
      </c>
    </row>
    <row r="39">
      <c r="A39" t="str">
        <v>יש/ ג/ 1/ 1/ 220</v>
      </c>
      <c r="B39" t="str">
        <v>גבעת זאב, שכונת יובל גד</v>
      </c>
      <c r="C39" t="str">
        <v>יו"ש -מועצת התכנון העליונה</v>
      </c>
      <c r="D39" t="str">
        <v>גבעת זאב</v>
      </c>
      <c r="E39" t="str">
        <v>בבדיקת תנאי סף</v>
      </c>
      <c r="F39" t="str">
        <v>לא</v>
      </c>
      <c r="G39" t="str">
        <v>לא</v>
      </c>
      <c r="H39" t="str">
        <v>לא</v>
      </c>
      <c r="I39">
        <f>=HYPERLINK("https://mavat.iplan.gov.il/SV4/1/7000416769/310")</f>
      </c>
    </row>
    <row r="40">
      <c r="A40" t="str">
        <v>כס/ מק/ 1/ 16/ ו</v>
      </c>
      <c r="B40" t="str">
        <v>קווי בניין</v>
      </c>
      <c r="C40" t="str">
        <v>מקומית</v>
      </c>
      <c r="D40" t="str">
        <v>כפר סבא</v>
      </c>
      <c r="E40" t="str">
        <v>בבדיקת תנאי סף</v>
      </c>
      <c r="F40" t="str">
        <v>לא</v>
      </c>
      <c r="G40" t="str">
        <v>לא</v>
      </c>
      <c r="H40" t="str">
        <v>לא</v>
      </c>
      <c r="I40">
        <f>=HYPERLINK("https://mavat.iplan.gov.il/SV4/1/4052438/310")</f>
      </c>
    </row>
    <row r="41">
      <c r="A41" t="str">
        <v>כס/ מק/ 1/ 27/ ה</v>
      </c>
      <c r="B41" t="str">
        <v xml:space="preserve"> </v>
      </c>
      <c r="C41" t="str">
        <v>מקומית</v>
      </c>
      <c r="D41" t="str">
        <v>כפר סבא</v>
      </c>
      <c r="E41" t="str">
        <v>בבדיקת תנאי סף</v>
      </c>
      <c r="F41" t="str">
        <v>לא</v>
      </c>
      <c r="G41" t="str">
        <v>לא</v>
      </c>
      <c r="H41" t="str">
        <v>לא</v>
      </c>
      <c r="I41">
        <f>=HYPERLINK("https://mavat.iplan.gov.il/SV4/1/4059849/310")</f>
      </c>
    </row>
    <row r="42">
      <c r="A42" t="str">
        <v>כר/ מק/ 123/ 2</v>
      </c>
      <c r="B42" t="str">
        <v>כרמיאל - גבעת מכוש</v>
      </c>
      <c r="C42" t="str">
        <v>מקומית</v>
      </c>
      <c r="D42" t="str">
        <v>כרמיאל</v>
      </c>
      <c r="E42" t="str">
        <v>בבדיקת תנאי סף</v>
      </c>
      <c r="F42" t="str">
        <v>לא</v>
      </c>
      <c r="G42" t="str">
        <v>לא</v>
      </c>
      <c r="H42" t="str">
        <v>לא</v>
      </c>
      <c r="I42">
        <f>=HYPERLINK("https://mavat.iplan.gov.il/SV4/1/2083313/310")</f>
      </c>
    </row>
    <row r="43">
      <c r="A43" t="str">
        <v>לה/ מק/ 1000/ 15/ 1/ א/ 2</v>
      </c>
      <c r="B43" t="str">
        <v>שינוי לתכנית מתאר לה/ מק/ 1000/ 15/ 1/ א</v>
      </c>
      <c r="C43" t="str">
        <v>מקומית</v>
      </c>
      <c r="D43" t="str">
        <v>רמלה</v>
      </c>
      <c r="E43" t="str">
        <v>בבדיקת תנאי סף</v>
      </c>
      <c r="F43" t="str">
        <v>לא</v>
      </c>
      <c r="G43" t="str">
        <v>לא</v>
      </c>
      <c r="H43" t="str">
        <v>לא</v>
      </c>
      <c r="I43">
        <f>=HYPERLINK("https://mavat.iplan.gov.il/SV4/1/4059925/310")</f>
      </c>
    </row>
    <row r="44">
      <c r="A44" t="str">
        <v>לה/ מק/ 301/ א</v>
      </c>
      <c r="B44" t="str">
        <v>שינוי לתכנית מתאר לה/ במ/ 172, לה/ 301</v>
      </c>
      <c r="C44" t="str">
        <v>מקומית</v>
      </c>
      <c r="D44" t="str">
        <v>רמלה</v>
      </c>
      <c r="E44" t="str">
        <v>בבדיקת תנאי סף</v>
      </c>
      <c r="F44" t="str">
        <v>לא</v>
      </c>
      <c r="G44" t="str">
        <v>לא</v>
      </c>
      <c r="H44" t="str">
        <v>לא</v>
      </c>
      <c r="I44">
        <f>=HYPERLINK("https://mavat.iplan.gov.il/SV4/1/4059820/310")</f>
      </c>
    </row>
    <row r="45">
      <c r="A45" t="str">
        <v>לה/ מק/ 320/ א/ 1/ 7</v>
      </c>
      <c r="B45" t="str">
        <v>שינוי לתכנית לה/ מק/ 320/ א/ 1</v>
      </c>
      <c r="C45" t="str">
        <v>מקומית</v>
      </c>
      <c r="D45" t="str">
        <v>רמלה</v>
      </c>
      <c r="E45" t="str">
        <v>בבדיקת תנאי סף</v>
      </c>
      <c r="F45" t="str">
        <v>לא</v>
      </c>
      <c r="G45" t="str">
        <v>לא</v>
      </c>
      <c r="H45" t="str">
        <v>לא</v>
      </c>
      <c r="I45">
        <f>=HYPERLINK("https://mavat.iplan.gov.il/SV4/1/4059809/310")</f>
      </c>
    </row>
    <row r="46">
      <c r="A46" t="str">
        <v>מג/ מק/ 41/ 2008</v>
      </c>
      <c r="B46" t="str">
        <v>תכנית מפורטת לשינוי קווי בניין, שינוי בדבר עיצוב ארכיטקטוני - מצפה הילה</v>
      </c>
      <c r="C46" t="str">
        <v>מקומית</v>
      </c>
      <c r="D46" t="str">
        <v>הילה,מעלה הגליל,מעלה יוסף,מעלה נפתלי</v>
      </c>
      <c r="E46" t="str">
        <v>בבדיקת תנאי סף</v>
      </c>
      <c r="F46" t="str">
        <v>לא</v>
      </c>
      <c r="G46" t="str">
        <v>לא</v>
      </c>
      <c r="H46" t="str">
        <v>לא</v>
      </c>
      <c r="I46">
        <f>=HYPERLINK("https://mavat.iplan.gov.il/SV4/1/2000228797/310")</f>
      </c>
    </row>
    <row r="47">
      <c r="A47" t="str">
        <v>ממ/ מק/ 1479/ 3/ א</v>
      </c>
      <c r="B47" t="str">
        <v>.</v>
      </c>
      <c r="C47" t="str">
        <v>מקומית</v>
      </c>
      <c r="D47" t="str">
        <v>באר יעקב,מצפה אפק</v>
      </c>
      <c r="E47" t="str">
        <v>בבדיקת תנאי סף</v>
      </c>
      <c r="F47" t="str">
        <v>לא</v>
      </c>
      <c r="G47" t="str">
        <v>לא</v>
      </c>
      <c r="H47" t="str">
        <v>לא</v>
      </c>
      <c r="I47">
        <f>=HYPERLINK("https://mavat.iplan.gov.il/SV4/1/4053233/310")</f>
      </c>
    </row>
    <row r="48">
      <c r="A48" t="str">
        <v>ממ/ מק/ 1538</v>
      </c>
      <c r="B48" t="str">
        <v>תחנת תדלוק סולר בבאר יעקב</v>
      </c>
      <c r="C48" t="str">
        <v>מקומית</v>
      </c>
      <c r="D48" t="str">
        <v>באר יעקב,מצפה אפק</v>
      </c>
      <c r="E48" t="str">
        <v>בבדיקת תנאי סף</v>
      </c>
      <c r="F48" t="str">
        <v>לא</v>
      </c>
      <c r="G48" t="str">
        <v>לא</v>
      </c>
      <c r="H48" t="str">
        <v>לא</v>
      </c>
      <c r="I48">
        <f>=HYPERLINK("https://mavat.iplan.gov.il/SV4/1/4066403/310")</f>
      </c>
    </row>
    <row r="49">
      <c r="A49" t="str">
        <v>מק/ 5643</v>
      </c>
      <c r="B49" t="str">
        <v>שינוי קו בנין מאושר - שכ' גילה.</v>
      </c>
      <c r="C49" t="str">
        <v>מקומית</v>
      </c>
      <c r="D49" t="str">
        <v>ירושלים</v>
      </c>
      <c r="E49" t="str">
        <v>בבדיקת תנאי סף</v>
      </c>
      <c r="F49" t="str">
        <v>לא</v>
      </c>
      <c r="G49" t="str">
        <v>לא</v>
      </c>
      <c r="H49" t="str">
        <v>לא</v>
      </c>
      <c r="I49">
        <f>=HYPERLINK("https://mavat.iplan.gov.il/SV4/1/1030154/310")</f>
      </c>
    </row>
    <row r="50">
      <c r="A50" t="str">
        <v>מק/ 6400</v>
      </c>
      <c r="B50" t="str">
        <v>שינוי הוראות בדבר שלבי ביצוע - רח' אידלסון - רמות.</v>
      </c>
      <c r="C50" t="str">
        <v>מקומית</v>
      </c>
      <c r="D50" t="str">
        <v>ירושלים</v>
      </c>
      <c r="E50" t="str">
        <v>בבדיקת תנאי סף</v>
      </c>
      <c r="F50" t="str">
        <v>לא</v>
      </c>
      <c r="G50" t="str">
        <v>לא</v>
      </c>
      <c r="H50" t="str">
        <v>לא</v>
      </c>
      <c r="I50">
        <f>=HYPERLINK("https://mavat.iplan.gov.il/SV4/1/1030133/310")</f>
      </c>
    </row>
    <row r="51">
      <c r="A51" t="str">
        <v>נס/ מק/ 162/ 2</v>
      </c>
      <c r="B51" t="str">
        <v>.</v>
      </c>
      <c r="C51" t="str">
        <v>מקומית</v>
      </c>
      <c r="D51" t="str">
        <v>נס ציונה</v>
      </c>
      <c r="E51" t="str">
        <v>בבדיקת תנאי סף</v>
      </c>
      <c r="F51" t="str">
        <v>לא</v>
      </c>
      <c r="G51" t="str">
        <v>לא</v>
      </c>
      <c r="H51" t="str">
        <v>לא</v>
      </c>
      <c r="I51">
        <f>=HYPERLINK("https://mavat.iplan.gov.il/SV4/1/4053719/310")</f>
      </c>
    </row>
    <row r="52">
      <c r="A52" t="str">
        <v>נת/ מק/ 537/ 2/ ה</v>
      </c>
      <c r="B52" t="str">
        <v>הוראות לשבילים</v>
      </c>
      <c r="C52" t="str">
        <v>מקומית</v>
      </c>
      <c r="D52" t="str">
        <v>נתניה</v>
      </c>
      <c r="E52" t="str">
        <v>בבדיקת תנאי סף</v>
      </c>
      <c r="F52" t="str">
        <v>לא</v>
      </c>
      <c r="G52" t="str">
        <v>לא</v>
      </c>
      <c r="H52" t="str">
        <v>לא</v>
      </c>
      <c r="I52">
        <f>=HYPERLINK("https://mavat.iplan.gov.il/SV4/1/4053815/310")</f>
      </c>
    </row>
    <row r="53">
      <c r="A53" t="str">
        <v>עפ/ מק/ 1942/ 1</v>
      </c>
      <c r="B53" t="str">
        <v>תחנת תידלוק ושרותי דרך, עפולה</v>
      </c>
      <c r="C53" t="str">
        <v>מקומית</v>
      </c>
      <c r="D53" t="str">
        <v>עפולה</v>
      </c>
      <c r="E53" t="str">
        <v>בבדיקת תנאי סף</v>
      </c>
      <c r="F53" t="str">
        <v>לא</v>
      </c>
      <c r="G53" t="str">
        <v>לא</v>
      </c>
      <c r="H53" t="str">
        <v>לא</v>
      </c>
      <c r="I53">
        <f>=HYPERLINK("https://mavat.iplan.gov.il/SV4/1/2084959/310")</f>
      </c>
    </row>
    <row r="54">
      <c r="A54" t="str">
        <v>פת/ מק/ 1233/ 22</v>
      </c>
      <c r="B54" t="str">
        <v>שינוי לתכנית מתאר פת/ 2000, פת/ בת/ 1233/ 3/ ב, פת/ בת/ 1233/ 14, פת/ 1233/ 15</v>
      </c>
      <c r="C54" t="str">
        <v>מקומית</v>
      </c>
      <c r="D54" t="str">
        <v>פתח תקוה</v>
      </c>
      <c r="E54" t="str">
        <v>בבדיקת תנאי סף</v>
      </c>
      <c r="F54" t="str">
        <v>לא</v>
      </c>
      <c r="G54" t="str">
        <v>לא</v>
      </c>
      <c r="H54" t="str">
        <v>לא</v>
      </c>
      <c r="I54">
        <f>=HYPERLINK("https://mavat.iplan.gov.il/SV4/1/4054758/310")</f>
      </c>
    </row>
    <row r="55">
      <c r="A55" t="str">
        <v>פת/ מק/ 1241/ 65</v>
      </c>
      <c r="B55" t="str">
        <v>שינוי לתכנית מתאר פת/ 2000, פת/ 2000/ 10, פת/ 1241/ א</v>
      </c>
      <c r="C55" t="str">
        <v>מקומית</v>
      </c>
      <c r="D55" t="str">
        <v>פתח תקוה</v>
      </c>
      <c r="E55" t="str">
        <v>בבדיקת תנאי סף</v>
      </c>
      <c r="F55" t="str">
        <v>לא</v>
      </c>
      <c r="G55" t="str">
        <v>לא</v>
      </c>
      <c r="H55" t="str">
        <v>לא</v>
      </c>
      <c r="I55">
        <f>=HYPERLINK("https://mavat.iplan.gov.il/SV4/1/4054825/310")</f>
      </c>
    </row>
    <row r="56">
      <c r="A56" t="str">
        <v>פת/ מק/ 1241/ 85</v>
      </c>
      <c r="B56" t="str">
        <v>לעדכן שינוי לתכנית מתאר פת/ מק/ 1241/ 85, פת/ 2000/ 10</v>
      </c>
      <c r="C56" t="str">
        <v>מקומית</v>
      </c>
      <c r="D56" t="str">
        <v>פתח תקוה</v>
      </c>
      <c r="E56" t="str">
        <v>בבדיקת תנאי סף</v>
      </c>
      <c r="F56" t="str">
        <v>לא</v>
      </c>
      <c r="G56" t="str">
        <v>לא</v>
      </c>
      <c r="H56" t="str">
        <v>לא</v>
      </c>
      <c r="I56">
        <f>=HYPERLINK("https://mavat.iplan.gov.il/SV4/1/4061221/310")</f>
      </c>
    </row>
    <row r="57">
      <c r="A57" t="str">
        <v>פת/ מק/ 1268/ 43</v>
      </c>
      <c r="B57" t="str">
        <v>תכנית מתאר מספר פת/מק/43/1268</v>
      </c>
      <c r="C57" t="str">
        <v>מקומית</v>
      </c>
      <c r="D57" t="str">
        <v>פתח תקוה</v>
      </c>
      <c r="E57" t="str">
        <v>בבדיקת תנאי סף</v>
      </c>
      <c r="F57" t="str">
        <v>לא</v>
      </c>
      <c r="G57" t="str">
        <v>לא</v>
      </c>
      <c r="H57" t="str">
        <v>לא</v>
      </c>
      <c r="I57">
        <f>=HYPERLINK("https://mavat.iplan.gov.il/SV4/1/4054673/310")</f>
      </c>
    </row>
    <row r="58">
      <c r="A58" t="str">
        <v>פת/ מק/ 179/ 19</v>
      </c>
      <c r="B58" t="str">
        <v>.                                                  \</v>
      </c>
      <c r="C58" t="str">
        <v>מקומית</v>
      </c>
      <c r="D58" t="str">
        <v>פתח תקוה</v>
      </c>
      <c r="E58" t="str">
        <v>בבדיקת תנאי סף</v>
      </c>
      <c r="F58" t="str">
        <v>לא</v>
      </c>
      <c r="G58" t="str">
        <v>לא</v>
      </c>
      <c r="H58" t="str">
        <v>לא</v>
      </c>
      <c r="I58">
        <f>=HYPERLINK("https://mavat.iplan.gov.il/SV4/1/4054633/310")</f>
      </c>
    </row>
    <row r="59">
      <c r="A59" t="str">
        <v>פת/ מק/ 2002/ 10</v>
      </c>
      <c r="B59" t="str">
        <v>שינוי לתכנית מתאר פת/ 2000, פת/ במ/ 2002, פת/ 2002/ א</v>
      </c>
      <c r="C59" t="str">
        <v>מקומית</v>
      </c>
      <c r="D59" t="str">
        <v>פתח תקוה</v>
      </c>
      <c r="E59" t="str">
        <v>בבדיקת תנאי סף</v>
      </c>
      <c r="F59" t="str">
        <v>לא</v>
      </c>
      <c r="G59" t="str">
        <v>לא</v>
      </c>
      <c r="H59" t="str">
        <v>לא</v>
      </c>
      <c r="I59">
        <f>=HYPERLINK("https://mavat.iplan.gov.il/SV4/1/4054812/310")</f>
      </c>
    </row>
    <row r="60">
      <c r="A60" t="str">
        <v>פת/ מק/ 2002/ 8</v>
      </c>
      <c r="B60" t="str">
        <v>.</v>
      </c>
      <c r="C60" t="str">
        <v>מקומית</v>
      </c>
      <c r="D60" t="str">
        <v>פתח תקוה</v>
      </c>
      <c r="E60" t="str">
        <v>בבדיקת תנאי סף</v>
      </c>
      <c r="F60" t="str">
        <v>לא</v>
      </c>
      <c r="G60" t="str">
        <v>לא</v>
      </c>
      <c r="H60" t="str">
        <v>לא</v>
      </c>
      <c r="I60">
        <f>=HYPERLINK("https://mavat.iplan.gov.il/SV4/1/4054805/310")</f>
      </c>
    </row>
    <row r="61">
      <c r="A61" t="str">
        <v>פת/ מק/ 2003/ 14</v>
      </c>
      <c r="B61" t="str">
        <v>.</v>
      </c>
      <c r="C61" t="str">
        <v>מקומית</v>
      </c>
      <c r="D61" t="str">
        <v>פתח תקוה</v>
      </c>
      <c r="E61" t="str">
        <v>בבדיקת תנאי סף</v>
      </c>
      <c r="F61" t="str">
        <v>לא</v>
      </c>
      <c r="G61" t="str">
        <v>לא</v>
      </c>
      <c r="H61" t="str">
        <v>לא</v>
      </c>
      <c r="I61">
        <f>=HYPERLINK("https://mavat.iplan.gov.il/SV4/1/4054763/310")</f>
      </c>
    </row>
    <row r="62">
      <c r="A62" t="str">
        <v>ק/ מק/ 3268</v>
      </c>
      <c r="B62" t="str">
        <v xml:space="preserve"> </v>
      </c>
      <c r="C62" t="str">
        <v>מקומית</v>
      </c>
      <c r="D62" t="str">
        <v>ג'לג'וליה,קסם</v>
      </c>
      <c r="E62" t="str">
        <v>בבדיקת תנאי סף</v>
      </c>
      <c r="F62" t="str">
        <v>לא</v>
      </c>
      <c r="G62" t="str">
        <v>לא</v>
      </c>
      <c r="H62" t="str">
        <v>לא</v>
      </c>
      <c r="I62">
        <f>=HYPERLINK("https://mavat.iplan.gov.il/SV4/1/4060171/310")</f>
      </c>
    </row>
    <row r="63">
      <c r="A63" t="str">
        <v>ק/ מק/ 4/ 2</v>
      </c>
      <c r="B63" t="str">
        <v>.</v>
      </c>
      <c r="C63" t="str">
        <v>מקומית</v>
      </c>
      <c r="D63" t="str">
        <v>כפר קאסם,קסם</v>
      </c>
      <c r="E63" t="str">
        <v>בבדיקת תנאי סף</v>
      </c>
      <c r="F63" t="str">
        <v>לא</v>
      </c>
      <c r="G63" t="str">
        <v>לא</v>
      </c>
      <c r="H63" t="str">
        <v>לא</v>
      </c>
      <c r="I63">
        <f>=HYPERLINK("https://mavat.iplan.gov.il/SV4/1/4058341/310")</f>
      </c>
    </row>
    <row r="64">
      <c r="A64" t="str">
        <v>קש/ מק/ 1437</v>
      </c>
      <c r="B64" t="str">
        <v>שינוי תכנית בינוי בקו בנין , איחוד וחלוקה של מגרשים, קרית שמונה</v>
      </c>
      <c r="C64" t="str">
        <v>מקומית</v>
      </c>
      <c r="D64" t="str">
        <v>קרית שמונה</v>
      </c>
      <c r="E64" t="str">
        <v>בבדיקת תנאי סף</v>
      </c>
      <c r="F64" t="str">
        <v>לא</v>
      </c>
      <c r="G64" t="str">
        <v>לא</v>
      </c>
      <c r="H64" t="str">
        <v>לא</v>
      </c>
      <c r="I64">
        <f>=HYPERLINK("https://mavat.iplan.gov.il/SV4/1/2085471/310")</f>
      </c>
    </row>
    <row r="65">
      <c r="A65" t="str">
        <v>רצ/ מק/ 1/ 58/ 8</v>
      </c>
      <c r="B65" t="str">
        <v>קרית חינוך.</v>
      </c>
      <c r="C65" t="str">
        <v>מקומית</v>
      </c>
      <c r="D65" t="str">
        <v>ראשון לציון</v>
      </c>
      <c r="E65" t="str">
        <v>בבדיקת תנאי סף</v>
      </c>
      <c r="F65" t="str">
        <v>לא</v>
      </c>
      <c r="G65" t="str">
        <v>לא</v>
      </c>
      <c r="H65" t="str">
        <v>לא</v>
      </c>
      <c r="I65">
        <f>=HYPERLINK("https://mavat.iplan.gov.il/SV4/1/4056592/310")</f>
      </c>
    </row>
    <row r="66">
      <c r="A66" t="str">
        <v>תתל/ 172</v>
      </c>
      <c r="B66" t="str">
        <v>חיבור נמלי חיפה לרשת המסילות הארצית</v>
      </c>
      <c r="C66" t="str">
        <v>ארצית</v>
      </c>
      <c r="D66" t="str">
        <v>זבולון,חיפה,מורדות הכרמל,נשר</v>
      </c>
      <c r="E66" t="str">
        <v>בבדיקת תנאי סף</v>
      </c>
      <c r="F66" t="str">
        <v>כן</v>
      </c>
      <c r="G66" t="str">
        <v>כן</v>
      </c>
      <c r="H66" t="str">
        <v>כן</v>
      </c>
      <c r="I66">
        <f>=HYPERLINK("https://mavat.iplan.gov.il/SV4/1/99005495862/310")</f>
      </c>
    </row>
    <row r="67">
      <c r="A67" t="str">
        <v>633-1515782</v>
      </c>
      <c r="B67" t="str">
        <v>מתקן אגרו וולטאי בשטחי חוות משעולים</v>
      </c>
      <c r="C67" t="str">
        <v>מחוזית</v>
      </c>
      <c r="D67" t="str">
        <v>חוף אשקלון</v>
      </c>
      <c r="E67" t="str">
        <v>בבדיקת תנאי סף</v>
      </c>
      <c r="F67" t="str">
        <v>כן</v>
      </c>
      <c r="G67" t="str">
        <v>כן</v>
      </c>
      <c r="H67" t="str">
        <v>כן</v>
      </c>
      <c r="I67">
        <f>=HYPERLINK("https://mavat.iplan.gov.il/SV4/1/6005491256/310")</f>
      </c>
    </row>
    <row r="68">
      <c r="A68" t="str">
        <v>651-1469162</v>
      </c>
      <c r="B68" t="str">
        <v>הרחבת מתקן עיכול אנארובי אוהד ב'</v>
      </c>
      <c r="C68" t="str">
        <v>מחוזית</v>
      </c>
      <c r="D68" t="str">
        <v>נגב מערבי</v>
      </c>
      <c r="E68" t="str">
        <v>בבדיקת תנאי סף</v>
      </c>
      <c r="F68" t="str">
        <v>כן</v>
      </c>
      <c r="G68" t="str">
        <v>כן</v>
      </c>
      <c r="H68" t="str">
        <v>כן</v>
      </c>
      <c r="I68">
        <f>=HYPERLINK("https://mavat.iplan.gov.il/SV4/1/6005462562/310")</f>
      </c>
    </row>
    <row r="69">
      <c r="A69" t="str">
        <v>614-1475532</v>
      </c>
      <c r="B69" t="str">
        <v>מתקן אגרו וולטאי בשטחי קיבוץ שומריה</v>
      </c>
      <c r="C69" t="str">
        <v>מחוזית</v>
      </c>
      <c r="D69" t="str">
        <v>עומר</v>
      </c>
      <c r="E69" t="str">
        <v>בבדיקת תנאי סף</v>
      </c>
      <c r="F69" t="str">
        <v>כן</v>
      </c>
      <c r="G69" t="str">
        <v>כן</v>
      </c>
      <c r="H69" t="str">
        <v>כן</v>
      </c>
      <c r="I69">
        <f>=HYPERLINK("https://mavat.iplan.gov.il/SV4/1/6005466232/310")</f>
      </c>
    </row>
    <row r="70">
      <c r="A70" t="str">
        <v>354-1290485</v>
      </c>
      <c r="B70" t="str">
        <v>שינוי ייעוד וחלוקה חדשה לחלקות 40+41 בגוש 20300 ללא הסכמה בכפר מושירפה</v>
      </c>
      <c r="C70" t="str">
        <v>מחוזית</v>
      </c>
      <c r="D70" t="str">
        <v>מעלה עירון,עירון</v>
      </c>
      <c r="E70" t="str">
        <v>בבדיקת תנאי סף</v>
      </c>
      <c r="F70" t="str">
        <v>כן</v>
      </c>
      <c r="G70" t="str">
        <v>כן</v>
      </c>
      <c r="H70" t="str">
        <v>כן</v>
      </c>
      <c r="I70">
        <f>=HYPERLINK("https://mavat.iplan.gov.il/SV4/1/3005351834/310")</f>
      </c>
    </row>
    <row r="71">
      <c r="A71" t="str">
        <v>253-1464296</v>
      </c>
      <c r="B71" t="str">
        <v>מתקן אגרו וולטאי קיבוץ שמיר</v>
      </c>
      <c r="C71" t="str">
        <v>מחוזית</v>
      </c>
      <c r="D71" t="str">
        <v>הגליל העליון</v>
      </c>
      <c r="E71" t="str">
        <v>בבדיקת תנאי סף</v>
      </c>
      <c r="F71" t="str">
        <v>כן</v>
      </c>
      <c r="G71" t="str">
        <v>כן</v>
      </c>
      <c r="H71" t="str">
        <v>כן</v>
      </c>
      <c r="I71">
        <f>=HYPERLINK("https://mavat.iplan.gov.il/SV4/1/2005459674/310")</f>
      </c>
    </row>
    <row r="72">
      <c r="A72" t="str">
        <v>651-0994699</v>
      </c>
      <c r="B72" t="str">
        <v>מנחת גבולות-מועצה אזורית אשכול</v>
      </c>
      <c r="C72" t="str">
        <v>מחוזית</v>
      </c>
      <c r="D72" t="str">
        <v>אשכול,נגב מערבי</v>
      </c>
      <c r="E72" t="str">
        <v>בבדיקת תנאי סף</v>
      </c>
      <c r="F72" t="str">
        <v>כן</v>
      </c>
      <c r="G72" t="str">
        <v>כן</v>
      </c>
      <c r="H72" t="str">
        <v>כן</v>
      </c>
      <c r="I72">
        <f>=HYPERLINK("https://mavat.iplan.gov.il/SV4/1/6005151414/310")</f>
      </c>
    </row>
    <row r="73">
      <c r="A73" t="str">
        <v>תמל/ 3010</v>
      </c>
      <c r="B73" t="str">
        <v>מתחם המייסדים - תחנת המטרו פארק המדע</v>
      </c>
      <c r="C73" t="str">
        <v>ארצית</v>
      </c>
      <c r="D73" t="str">
        <v>נס ציונה</v>
      </c>
      <c r="E73" t="str">
        <v>בבדיקת תנאי סף</v>
      </c>
      <c r="F73" t="str">
        <v>כן</v>
      </c>
      <c r="G73" t="str">
        <v>כן</v>
      </c>
      <c r="H73" t="str">
        <v>כן</v>
      </c>
      <c r="I73">
        <f>=HYPERLINK("https://mavat.iplan.gov.il/SV4/1/99005376676/310")</f>
      </c>
    </row>
    <row r="74">
      <c r="A74" t="str">
        <v>308-1496702</v>
      </c>
      <c r="B74" t="str">
        <v>מתקן אגרו וולטאי בין כביש 65 לתלמי אלעזר, גוש 10113</v>
      </c>
      <c r="C74" t="str">
        <v>מחוזית</v>
      </c>
      <c r="D74" t="str">
        <v>פרדס חנה-כרכור</v>
      </c>
      <c r="E74" t="str">
        <v>בבדיקת תנאי סף</v>
      </c>
      <c r="F74" t="str">
        <v>כן</v>
      </c>
      <c r="G74" t="str">
        <v>כן</v>
      </c>
      <c r="H74" t="str">
        <v>כן</v>
      </c>
      <c r="I74">
        <f>=HYPERLINK("https://mavat.iplan.gov.il/SV4/1/3005479340/310")</f>
      </c>
    </row>
    <row r="75">
      <c r="A75" t="str">
        <v>308-1496801</v>
      </c>
      <c r="B75" t="str">
        <v>מתקן אגרו וולטאי בין כביש 65 לתלמי אלעזר, גוש 10118</v>
      </c>
      <c r="C75" t="str">
        <v>מחוזית</v>
      </c>
      <c r="D75" t="str">
        <v>פרדס חנה-כרכור</v>
      </c>
      <c r="E75" t="str">
        <v>בבדיקת תנאי סף</v>
      </c>
      <c r="F75" t="str">
        <v>כן</v>
      </c>
      <c r="G75" t="str">
        <v>כן</v>
      </c>
      <c r="H75" t="str">
        <v>כן</v>
      </c>
      <c r="I75">
        <f>=HYPERLINK("https://mavat.iplan.gov.il/SV4/1/3005479392/310")</f>
      </c>
    </row>
    <row r="76">
      <c r="A76" t="str">
        <v>303-1494525</v>
      </c>
      <c r="B76" t="str">
        <v>מרחב הכבארה</v>
      </c>
      <c r="C76" t="str">
        <v>מחוזית</v>
      </c>
      <c r="D76" t="str">
        <v>חוף הכרמל</v>
      </c>
      <c r="E76" t="str">
        <v>בבדיקת תנאי סף</v>
      </c>
      <c r="F76" t="str">
        <v>כן</v>
      </c>
      <c r="G76" t="str">
        <v>כן</v>
      </c>
      <c r="H76" t="str">
        <v>כן</v>
      </c>
      <c r="I76">
        <f>=HYPERLINK("https://mavat.iplan.gov.il/SV4/1/3005477908/310")</f>
      </c>
    </row>
    <row r="77">
      <c r="A77" t="str">
        <v>204-1440940</v>
      </c>
      <c r="B77" t="str">
        <v>חפצי-בה - מתקן אגרו וולטאי</v>
      </c>
      <c r="C77" t="str">
        <v>מחוזית</v>
      </c>
      <c r="D77" t="str">
        <v>הגילבוע,הגלבוע,חפצי-בה</v>
      </c>
      <c r="E77" t="str">
        <v>בבדיקת תנאי סף</v>
      </c>
      <c r="F77" t="str">
        <v>כן</v>
      </c>
      <c r="G77" t="str">
        <v>כן</v>
      </c>
      <c r="H77" t="str">
        <v>כן</v>
      </c>
      <c r="I77">
        <f>=HYPERLINK("https://mavat.iplan.gov.il/SV4/1/2005445314/310")</f>
      </c>
    </row>
    <row r="78">
      <c r="A78" t="str">
        <v>304-1536648</v>
      </c>
      <c r="B78" t="str">
        <v>בית חולים רמב"ם</v>
      </c>
      <c r="C78" t="str">
        <v>מחוזית</v>
      </c>
      <c r="D78" t="str">
        <v>חיפה</v>
      </c>
      <c r="E78" t="str">
        <v>בבדיקת תנאי סף</v>
      </c>
      <c r="F78" t="str">
        <v>כן</v>
      </c>
      <c r="G78" t="str">
        <v>כן</v>
      </c>
      <c r="H78" t="str">
        <v>כן</v>
      </c>
      <c r="I78">
        <f>=HYPERLINK("https://mavat.iplan.gov.il/SV4/1/3005504486/310")</f>
      </c>
    </row>
    <row r="79">
      <c r="A79" t="str">
        <v>354-1473669</v>
      </c>
      <c r="B79" t="str">
        <v>פיתוח והסדרה לחלקה 32 גוש 20312 באום אל פחם</v>
      </c>
      <c r="C79" t="str">
        <v>מחוזית</v>
      </c>
      <c r="D79" t="str">
        <v>אום אל-פחם,עירון</v>
      </c>
      <c r="E79" t="str">
        <v>בבדיקת תנאי סף</v>
      </c>
      <c r="F79" t="str">
        <v>כן</v>
      </c>
      <c r="G79" t="str">
        <v>כן</v>
      </c>
      <c r="H79" t="str">
        <v>כן</v>
      </c>
      <c r="I79">
        <f>=HYPERLINK("https://mavat.iplan.gov.il/SV4/1/3005465000/310")</f>
      </c>
    </row>
    <row r="80">
      <c r="A80" t="str">
        <v>353-1374214</v>
      </c>
      <c r="B80" t="str">
        <v>תחנת מיתוג קיסריה</v>
      </c>
      <c r="C80" t="str">
        <v>מחוזית</v>
      </c>
      <c r="D80" t="str">
        <v>אור עקיבא,יישובי הברון</v>
      </c>
      <c r="E80" t="str">
        <v>בבדיקת תנאי סף</v>
      </c>
      <c r="F80" t="str">
        <v>כן</v>
      </c>
      <c r="G80" t="str">
        <v>כן</v>
      </c>
      <c r="H80" t="str">
        <v>כן</v>
      </c>
      <c r="I80">
        <f>=HYPERLINK("https://mavat.iplan.gov.il/SV4/1/3005405188/310")</f>
      </c>
    </row>
    <row r="81">
      <c r="A81" t="str">
        <v>303-1558691</v>
      </c>
      <c r="B81" t="str">
        <v>מתקן אגירה מערכתי חוף הכרמל (עתלית)</v>
      </c>
      <c r="C81" t="str">
        <v>מחוזית</v>
      </c>
      <c r="D81" t="str">
        <v>חוף הכרמל,עתלית</v>
      </c>
      <c r="E81" t="str">
        <v>בבדיקת תנאי סף</v>
      </c>
      <c r="F81" t="str">
        <v>כן</v>
      </c>
      <c r="G81" t="str">
        <v>כן</v>
      </c>
      <c r="H81" t="str">
        <v>כן</v>
      </c>
      <c r="I81">
        <f>=HYPERLINK("https://mavat.iplan.gov.il/SV4/1/3005518066/310")</f>
      </c>
    </row>
    <row r="82">
      <c r="A82" t="str">
        <v>202-1433523</v>
      </c>
      <c r="B82" t="str">
        <v>מסילות - מתקן אגרו וולטאי</v>
      </c>
      <c r="C82" t="str">
        <v>מחוזית</v>
      </c>
      <c r="D82" t="str">
        <v>עמק המעיינות</v>
      </c>
      <c r="E82" t="str">
        <v>בבדיקת תנאי סף</v>
      </c>
      <c r="F82" t="str">
        <v>כן</v>
      </c>
      <c r="G82" t="str">
        <v>כן</v>
      </c>
      <c r="H82" t="str">
        <v>כן</v>
      </c>
      <c r="I82">
        <f>=HYPERLINK("https://mavat.iplan.gov.il/SV4/1/2005440708/310")</f>
      </c>
    </row>
    <row r="83">
      <c r="A83" t="str">
        <v>204-1438175</v>
      </c>
      <c r="B83" t="str">
        <v>רם און - מתקן אגרו וולטאי</v>
      </c>
      <c r="C83" t="str">
        <v>מחוזית</v>
      </c>
      <c r="D83" t="str">
        <v>הגילבוע,הגלבוע,רם-און</v>
      </c>
      <c r="E83" t="str">
        <v>בבדיקת תנאי סף</v>
      </c>
      <c r="F83" t="str">
        <v>כן</v>
      </c>
      <c r="G83" t="str">
        <v>כן</v>
      </c>
      <c r="H83" t="str">
        <v>כן</v>
      </c>
      <c r="I83">
        <f>=HYPERLINK("https://mavat.iplan.gov.il/SV4/1/2005443604/310")</f>
      </c>
    </row>
    <row r="84">
      <c r="A84" t="str">
        <v>304-1535293</v>
      </c>
      <c r="B84" t="str">
        <v>השומר סמטת חדרה</v>
      </c>
      <c r="C84" t="str">
        <v>מחוזית</v>
      </c>
      <c r="D84" t="str">
        <v>חיפה</v>
      </c>
      <c r="E84" t="str">
        <v>בבדיקת תנאי סף</v>
      </c>
      <c r="F84" t="str">
        <v>כן</v>
      </c>
      <c r="G84" t="str">
        <v>כן</v>
      </c>
      <c r="H84" t="str">
        <v>כן</v>
      </c>
      <c r="I84">
        <f>=HYPERLINK("https://mavat.iplan.gov.il/SV4/1/3005503676/310")</f>
      </c>
    </row>
    <row r="85">
      <c r="A85" t="str">
        <v>303-1327618</v>
      </c>
      <c r="B85" t="str">
        <v>מע"ר עתלית</v>
      </c>
      <c r="C85" t="str">
        <v>מחוזית</v>
      </c>
      <c r="D85" t="str">
        <v>חוף הכרמל</v>
      </c>
      <c r="E85" t="str">
        <v>בבדיקת תנאי סף</v>
      </c>
      <c r="F85" t="str">
        <v>כן</v>
      </c>
      <c r="G85" t="str">
        <v>כן</v>
      </c>
      <c r="H85" t="str">
        <v>כן</v>
      </c>
      <c r="I85">
        <f>=HYPERLINK("https://mavat.iplan.gov.il/SV4/1/3005376168/310")</f>
      </c>
    </row>
    <row r="86">
      <c r="A86" t="str">
        <v>625-1414077</v>
      </c>
      <c r="B86" t="str">
        <v>מתקן אגרו-וולטאי שיבולת בנגב</v>
      </c>
      <c r="C86" t="str">
        <v>מחוזית</v>
      </c>
      <c r="D86" t="str">
        <v>בני שמעון</v>
      </c>
      <c r="E86" t="str">
        <v>בבדיקת תנאי סף</v>
      </c>
      <c r="F86" t="str">
        <v>כן</v>
      </c>
      <c r="G86" t="str">
        <v>כן</v>
      </c>
      <c r="H86" t="str">
        <v>כן</v>
      </c>
      <c r="I86">
        <f>=HYPERLINK("https://mavat.iplan.gov.il/SV4/1/6005429296/310")</f>
      </c>
    </row>
    <row r="87">
      <c r="A87" t="str">
        <v>202-1491232</v>
      </c>
      <c r="B87" t="str">
        <v>מתקן אגרו וולטאי בשטחי קיבוץ גשר</v>
      </c>
      <c r="C87" t="str">
        <v>מחוזית</v>
      </c>
      <c r="D87" t="str">
        <v>גשר,עמק המעיינות</v>
      </c>
      <c r="E87" t="str">
        <v>בבדיקת תנאי סף</v>
      </c>
      <c r="F87" t="str">
        <v>כן</v>
      </c>
      <c r="G87" t="str">
        <v>כן</v>
      </c>
      <c r="H87" t="str">
        <v>כן</v>
      </c>
      <c r="I87">
        <f>=HYPERLINK("https://mavat.iplan.gov.il/SV4/1/2005475986/310")</f>
      </c>
    </row>
    <row r="88">
      <c r="A88" t="str">
        <v>202-1456136</v>
      </c>
      <c r="B88" t="str">
        <v>נווה איתן - מתקן אגרו וולטאי</v>
      </c>
      <c r="C88" t="str">
        <v>מחוזית</v>
      </c>
      <c r="D88" t="str">
        <v>נוה איתן,עמק המעיינות</v>
      </c>
      <c r="E88" t="str">
        <v>בבדיקת תנאי סף</v>
      </c>
      <c r="F88" t="str">
        <v>כן</v>
      </c>
      <c r="G88" t="str">
        <v>כן</v>
      </c>
      <c r="H88" t="str">
        <v>כן</v>
      </c>
      <c r="I88">
        <f>=HYPERLINK("https://mavat.iplan.gov.il/SV4/1/2005454878/310")</f>
      </c>
    </row>
    <row r="89">
      <c r="A89" t="str">
        <v>354-1446079</v>
      </c>
      <c r="B89" t="str">
        <v>שכונת אלגבל - באקה אלגרביה</v>
      </c>
      <c r="C89" t="str">
        <v>מחוזית</v>
      </c>
      <c r="D89" t="str">
        <v>באקה אל ג'רביה,באקה אל גרבייה,עירון</v>
      </c>
      <c r="E89" t="str">
        <v>בבדיקת תנאי סף</v>
      </c>
      <c r="F89" t="str">
        <v>כן</v>
      </c>
      <c r="G89" t="str">
        <v>כן</v>
      </c>
      <c r="H89" t="str">
        <v>כן</v>
      </c>
      <c r="I89">
        <f>=HYPERLINK("https://mavat.iplan.gov.il/SV4/1/3005448600/310")</f>
      </c>
    </row>
    <row r="90">
      <c r="A90" t="str">
        <v>620-1421312</v>
      </c>
      <c r="B90" t="str">
        <v>מתקן אגרו וולטאי בשטחי קיבוץ משאבי שדה</v>
      </c>
      <c r="C90" t="str">
        <v>מחוזית</v>
      </c>
      <c r="D90" t="str">
        <v>משאבי שדה,רמת נגב</v>
      </c>
      <c r="E90" t="str">
        <v>בבדיקת תנאי סף</v>
      </c>
      <c r="F90" t="str">
        <v>כן</v>
      </c>
      <c r="G90" t="str">
        <v>כן</v>
      </c>
      <c r="H90" t="str">
        <v>כן</v>
      </c>
      <c r="I90">
        <f>=HYPERLINK("https://mavat.iplan.gov.il/SV4/1/6005433660/310")</f>
      </c>
    </row>
    <row r="91">
      <c r="A91" t="str">
        <v>302-1546837</v>
      </c>
      <c r="B91" t="str">
        <v>מפעלי אינפיניה - הסדרת דרכי גישה</v>
      </c>
      <c r="C91" t="str">
        <v>מחוזית</v>
      </c>
      <c r="D91" t="str">
        <v>חדרה</v>
      </c>
      <c r="E91" t="str">
        <v>בבדיקת תנאי סף</v>
      </c>
      <c r="F91" t="str">
        <v>כן</v>
      </c>
      <c r="G91" t="str">
        <v>כן</v>
      </c>
      <c r="H91" t="str">
        <v>כן</v>
      </c>
      <c r="I91">
        <f>=HYPERLINK("https://mavat.iplan.gov.il/SV4/1/3005510664/310")</f>
      </c>
    </row>
    <row r="92">
      <c r="A92" t="str">
        <v>504-1313931</v>
      </c>
      <c r="B92" t="str">
        <v>שכונת רזיאל, הרצליה</v>
      </c>
      <c r="C92" t="str">
        <v>מחוזית</v>
      </c>
      <c r="D92" t="str">
        <v>הרצליה</v>
      </c>
      <c r="E92" t="str">
        <v>בבדיקת תנאי סף</v>
      </c>
      <c r="F92" t="str">
        <v>כן</v>
      </c>
      <c r="G92" t="str">
        <v>כן</v>
      </c>
      <c r="H92" t="str">
        <v>כן</v>
      </c>
      <c r="I92">
        <f>=HYPERLINK("https://mavat.iplan.gov.il/SV4/1/5005367358/310")</f>
      </c>
    </row>
    <row r="93">
      <c r="A93" t="str">
        <v>219-1297530</v>
      </c>
      <c r="B93" t="str">
        <v>מתקן אגרו וולטאי משולב מערכת אגירת אנרגיה בג'וריה</v>
      </c>
      <c r="C93" t="str">
        <v>מחוזית</v>
      </c>
      <c r="D93" t="str">
        <v>גולן</v>
      </c>
      <c r="E93" t="str">
        <v>בבדיקת תנאי סף</v>
      </c>
      <c r="F93" t="str">
        <v>כן</v>
      </c>
      <c r="G93" t="str">
        <v>כן</v>
      </c>
      <c r="H93" t="str">
        <v>כן</v>
      </c>
      <c r="I93">
        <f>=HYPERLINK("https://mavat.iplan.gov.il/SV4/1/2005356700/310")</f>
      </c>
    </row>
    <row r="94">
      <c r="A94" t="str">
        <v>603-1127117</v>
      </c>
      <c r="B94" t="str">
        <v>כביש החולות</v>
      </c>
      <c r="C94" t="str">
        <v>מחוזית</v>
      </c>
      <c r="D94" t="str">
        <v>אשדוד</v>
      </c>
      <c r="E94" t="str">
        <v>בבדיקת תנאי סף</v>
      </c>
      <c r="F94" t="str">
        <v>כן</v>
      </c>
      <c r="G94" t="str">
        <v>כן</v>
      </c>
      <c r="H94" t="str">
        <v>כן</v>
      </c>
      <c r="I94">
        <f>=HYPERLINK("https://mavat.iplan.gov.il/SV4/1/6005248654/310")</f>
      </c>
    </row>
    <row r="95">
      <c r="A95" t="str">
        <v>216-1172543</v>
      </c>
      <c r="B95" t="str">
        <v>ג/28564 מגורים מול הכנרת - צפת</v>
      </c>
      <c r="C95" t="str">
        <v>מחוזית</v>
      </c>
      <c r="D95" t="str">
        <v>צפת</v>
      </c>
      <c r="E95" t="str">
        <v>בבדיקת תנאי סף</v>
      </c>
      <c r="F95" t="str">
        <v>כן</v>
      </c>
      <c r="G95" t="str">
        <v>כן</v>
      </c>
      <c r="H95" t="str">
        <v>כן</v>
      </c>
      <c r="I95">
        <f>=HYPERLINK("https://mavat.iplan.gov.il/SV4/1/2005276390/310")</f>
      </c>
    </row>
    <row r="96">
      <c r="A96" t="str">
        <v>101-0965962</v>
      </c>
      <c r="B96" t="str">
        <v>רכבת קלה בירושלים-הקו החום</v>
      </c>
      <c r="C96" t="str">
        <v>מחוזית</v>
      </c>
      <c r="D96" t="str">
        <v>ירושלים</v>
      </c>
      <c r="E96" t="str">
        <v>בבדיקת תנאי סף</v>
      </c>
      <c r="F96" t="str">
        <v>כן</v>
      </c>
      <c r="G96" t="str">
        <v>כן</v>
      </c>
      <c r="H96" t="str">
        <v>כן</v>
      </c>
      <c r="I96">
        <f>=HYPERLINK("https://mavat.iplan.gov.il/SV4/1/1005133678/310")</f>
      </c>
    </row>
    <row r="97">
      <c r="A97" t="str">
        <v>257-1446905</v>
      </c>
      <c r="B97" t="str">
        <v>שינוי הוראות בינוי בתכניות מאושרות באכסאל</v>
      </c>
      <c r="C97" t="str">
        <v>מקומית</v>
      </c>
      <c r="D97" t="str">
        <v>אכסאל,מבוא העמקים</v>
      </c>
      <c r="E97" t="str">
        <v>בבדיקת תנאי סף</v>
      </c>
      <c r="F97" t="str">
        <v>כן</v>
      </c>
      <c r="G97" t="str">
        <v>כן</v>
      </c>
      <c r="H97" t="str">
        <v>כן</v>
      </c>
      <c r="I97">
        <f>=HYPERLINK("https://mavat.iplan.gov.il/SV4/1/2005449170/310")</f>
      </c>
    </row>
    <row r="98">
      <c r="A98" t="str">
        <v>224-1378496</v>
      </c>
      <c r="B98" t="str">
        <v>אלי עד - הסדרת שימושים מבנה חקלאי</v>
      </c>
      <c r="C98" t="str">
        <v>מחוזית</v>
      </c>
      <c r="D98" t="str">
        <v>מרחב הגולן</v>
      </c>
      <c r="E98" t="str">
        <v>בבדיקת תנאי סף</v>
      </c>
      <c r="F98" t="str">
        <v>כן</v>
      </c>
      <c r="G98" t="str">
        <v>כן</v>
      </c>
      <c r="H98" t="str">
        <v>כן</v>
      </c>
      <c r="I98">
        <f>=HYPERLINK("https://mavat.iplan.gov.il/SV4/1/2005407870/310")</f>
      </c>
    </row>
    <row r="99">
      <c r="A99" t="str">
        <v>618-1407998</v>
      </c>
      <c r="B99" t="str">
        <v>מגרש מס' 1015A קאנטרי רהט.</v>
      </c>
      <c r="C99" t="str">
        <v>מחוזית</v>
      </c>
      <c r="D99" t="str">
        <v>רהט</v>
      </c>
      <c r="E99" t="str">
        <v>בבדיקת תנאי סף</v>
      </c>
      <c r="F99" t="str">
        <v>כן</v>
      </c>
      <c r="G99" t="str">
        <v>כן</v>
      </c>
      <c r="H99" t="str">
        <v>כן</v>
      </c>
      <c r="I99">
        <f>=HYPERLINK("https://mavat.iplan.gov.il/SV4/1/6005425682/310")</f>
      </c>
    </row>
    <row r="100">
      <c r="A100" t="str">
        <v>508-1309202</v>
      </c>
      <c r="B100" t="str">
        <v>אושר עד צומת סביון - מגרש 86</v>
      </c>
      <c r="C100" t="str">
        <v>מחוזית</v>
      </c>
      <c r="D100" t="str">
        <v>קרית אונו</v>
      </c>
      <c r="E100" t="str">
        <v>בבדיקת תנאי סף</v>
      </c>
      <c r="F100" t="str">
        <v>כן</v>
      </c>
      <c r="G100" t="str">
        <v>כן</v>
      </c>
      <c r="H100" t="str">
        <v>כן</v>
      </c>
      <c r="I100">
        <f>=HYPERLINK("https://mavat.iplan.gov.il/SV4/1/5005364098/310")</f>
      </c>
    </row>
    <row r="101">
      <c r="A101" t="str">
        <v>651-1234178</v>
      </c>
      <c r="B101" t="str">
        <v>איחוד מגרשים 7-2 אזה"ת ישע</v>
      </c>
      <c r="C101" t="str">
        <v>מחוזית</v>
      </c>
      <c r="D101" t="str">
        <v>אשכול,ישע,נגב מערבי</v>
      </c>
      <c r="E101" t="str">
        <v>בבדיקת תנאי סף</v>
      </c>
      <c r="F101" t="str">
        <v>כן</v>
      </c>
      <c r="G101" t="str">
        <v>כן</v>
      </c>
      <c r="H101" t="str">
        <v>כן</v>
      </c>
      <c r="I101">
        <f>=HYPERLINK("https://mavat.iplan.gov.il/SV4/1/6005316438/310")</f>
      </c>
    </row>
    <row r="102">
      <c r="A102" t="str">
        <v>253-0828855</v>
      </c>
      <c r="B102" t="str">
        <v>גונן תכנית מתחמים 2</v>
      </c>
      <c r="C102" t="str">
        <v>מחוזית</v>
      </c>
      <c r="D102" t="str">
        <v>גונן,הגליל העליון</v>
      </c>
      <c r="E102" t="str">
        <v>בבדיקת תנאי סף</v>
      </c>
      <c r="F102" t="str">
        <v>כן</v>
      </c>
      <c r="G102" t="str">
        <v>כן</v>
      </c>
      <c r="H102" t="str">
        <v>כן</v>
      </c>
      <c r="I102">
        <f>=HYPERLINK("https://mavat.iplan.gov.il/SV4/1/2005051862/310")</f>
      </c>
    </row>
    <row r="103">
      <c r="A103" t="str">
        <v>101-1350511</v>
      </c>
      <c r="B103" t="str">
        <v>תוספת קומות ברח' ברכה צפירה 11, רמת שרת, ירושלים</v>
      </c>
      <c r="C103" t="str">
        <v>מחוזית</v>
      </c>
      <c r="D103" t="str">
        <v>ירושלים</v>
      </c>
      <c r="E103" t="str">
        <v>בבדיקת תנאי סף</v>
      </c>
      <c r="F103" t="str">
        <v>כן</v>
      </c>
      <c r="G103" t="str">
        <v>כן</v>
      </c>
      <c r="H103" t="str">
        <v>כן</v>
      </c>
      <c r="I103">
        <f>=HYPERLINK("https://mavat.iplan.gov.il/SV4/1/1005389658/310")</f>
      </c>
    </row>
    <row r="104">
      <c r="A104" t="str">
        <v>101-1082387</v>
      </c>
      <c r="B104" t="str">
        <v>התחדשות עירונית-רחוב האיילה</v>
      </c>
      <c r="C104" t="str">
        <v>מחוזית</v>
      </c>
      <c r="D104" t="str">
        <v>ירושלים</v>
      </c>
      <c r="E104" t="str">
        <v>בבדיקת תנאי סף</v>
      </c>
      <c r="F104" t="str">
        <v>כן</v>
      </c>
      <c r="G104" t="str">
        <v>כן</v>
      </c>
      <c r="H104" t="str">
        <v>כן</v>
      </c>
      <c r="I104">
        <f>=HYPERLINK("https://mavat.iplan.gov.il/SV4/1/1005220858/310")</f>
      </c>
    </row>
    <row r="105">
      <c r="A105" t="str">
        <v>420-1390889</v>
      </c>
      <c r="B105" t="str">
        <v>מד/62/20 - הסדרת והרחבת דרך שעלבים - מרכז עינב</v>
      </c>
      <c r="C105" t="str">
        <v>מחוזית</v>
      </c>
      <c r="D105" t="str">
        <v>מודיעין-מכבים-רעות</v>
      </c>
      <c r="E105" t="str">
        <v>בבדיקת תנאי סף</v>
      </c>
      <c r="F105" t="str">
        <v>כן</v>
      </c>
      <c r="G105" t="str">
        <v>כן</v>
      </c>
      <c r="H105" t="str">
        <v>כן</v>
      </c>
      <c r="I105">
        <f>=HYPERLINK("https://mavat.iplan.gov.il/SV4/1/4005414998/310")</f>
      </c>
    </row>
    <row r="106">
      <c r="A106" t="str">
        <v>651-1384361</v>
      </c>
      <c r="B106" t="str">
        <v>קיבוץ בארי - הצרחת שטחים</v>
      </c>
      <c r="C106" t="str">
        <v>מקומית</v>
      </c>
      <c r="D106" t="str">
        <v>אשכול,בארי,נגב מערבי</v>
      </c>
      <c r="E106" t="str">
        <v>בבדיקת תנאי סף</v>
      </c>
      <c r="F106" t="str">
        <v>כן</v>
      </c>
      <c r="G106" t="str">
        <v>כן</v>
      </c>
      <c r="H106" t="str">
        <v>כן</v>
      </c>
      <c r="I106">
        <f>=HYPERLINK("https://mavat.iplan.gov.il/SV4/1/6005411206/310")</f>
      </c>
    </row>
    <row r="107">
      <c r="A107" t="str">
        <v>262-1319813</v>
      </c>
      <c r="B107" t="str">
        <v>הסדרת זכויות והוראות בנייה בחלקות 10 ו 128 - דרום עראבה</v>
      </c>
      <c r="C107" t="str">
        <v>מקומית</v>
      </c>
      <c r="D107" t="str">
        <v>לב הגליל,עראבה</v>
      </c>
      <c r="E107" t="str">
        <v>בבדיקת תנאי סף</v>
      </c>
      <c r="F107" t="str">
        <v>כן</v>
      </c>
      <c r="G107" t="str">
        <v>כן</v>
      </c>
      <c r="H107" t="str">
        <v>כן</v>
      </c>
      <c r="I107">
        <f>=HYPERLINK("https://mavat.iplan.gov.il/SV4/1/2005371358/310")</f>
      </c>
    </row>
    <row r="108">
      <c r="A108" t="str">
        <v>151-1313980</v>
      </c>
      <c r="B108" t="str">
        <v>תוספת 2 יח"ד, זכויות בניה ושינוי בפרישת ייעודי הקרקע בנטף 24</v>
      </c>
      <c r="C108" t="str">
        <v>מקומית</v>
      </c>
      <c r="D108" t="str">
        <v>מטה יהודה,נטף</v>
      </c>
      <c r="E108" t="str">
        <v>בבדיקת תנאי סף</v>
      </c>
      <c r="F108" t="str">
        <v>כן</v>
      </c>
      <c r="G108" t="str">
        <v>כן</v>
      </c>
      <c r="H108" t="str">
        <v>כן</v>
      </c>
      <c r="I108">
        <f>=HYPERLINK("https://mavat.iplan.gov.il/SV4/1/1005367378/310")</f>
      </c>
    </row>
    <row r="109">
      <c r="A109" t="str">
        <v>602-1354729</v>
      </c>
      <c r="B109" t="str">
        <v>פרויקט מעגן</v>
      </c>
      <c r="C109" t="str">
        <v>מחוזית</v>
      </c>
      <c r="D109" t="str">
        <v>אילת</v>
      </c>
      <c r="E109" t="str">
        <v>בבדיקת תנאי סף</v>
      </c>
      <c r="F109" t="str">
        <v>כן</v>
      </c>
      <c r="G109" t="str">
        <v>כן</v>
      </c>
      <c r="H109" t="str">
        <v>כן</v>
      </c>
      <c r="I109">
        <f>=HYPERLINK("https://mavat.iplan.gov.il/SV4/1/6005392594/310")</f>
      </c>
    </row>
    <row r="110">
      <c r="A110" t="str">
        <v>201-0981407</v>
      </c>
      <c r="B110" t="str">
        <v>אתר הטמנה עברון - הגבהת רומים סופיים</v>
      </c>
      <c r="C110" t="str">
        <v>מחוזית</v>
      </c>
      <c r="D110" t="str">
        <v>חבל אשר,מזרעה,מטה אשר,עברון</v>
      </c>
      <c r="E110" t="str">
        <v>בבדיקת תנאי סף</v>
      </c>
      <c r="F110" t="str">
        <v>כן</v>
      </c>
      <c r="G110" t="str">
        <v>כן</v>
      </c>
      <c r="H110" t="str">
        <v>כן</v>
      </c>
      <c r="I110">
        <f>=HYPERLINK("https://mavat.iplan.gov.il/SV4/1/2005143064/310")</f>
      </c>
    </row>
    <row r="111">
      <c r="A111" t="str">
        <v>תתל/ 160</v>
      </c>
      <c r="B111" t="str">
        <v>תתל/ 160  -  קווי מתח עליון ותחנות משנה ברמת הגולן</v>
      </c>
      <c r="C111" t="str">
        <v>ארצית</v>
      </c>
      <c r="D111" t="str">
        <v>גולן</v>
      </c>
      <c r="E111" t="str">
        <v>בבדיקת תנאי סף</v>
      </c>
      <c r="F111" t="str">
        <v>כן</v>
      </c>
      <c r="G111" t="str">
        <v>כן</v>
      </c>
      <c r="H111" t="str">
        <v>כן</v>
      </c>
      <c r="I111">
        <f>=HYPERLINK("https://mavat.iplan.gov.il/SV4/1/99005400590/310")</f>
      </c>
    </row>
    <row r="112">
      <c r="A112" t="str">
        <v>212-1295476</v>
      </c>
      <c r="B112" t="str">
        <v>דרך מס' 754, דרך אזורית בין דרך 79 לדרך 77</v>
      </c>
      <c r="C112" t="str">
        <v>מחוזית</v>
      </c>
      <c r="D112" t="str">
        <v>הושעיה,יזרעאלים,כפר כנא,מבוא העמקים,משהד,עמק יזרעאל,ריינה</v>
      </c>
      <c r="E112" t="str">
        <v>בבדיקת תנאי סף</v>
      </c>
      <c r="F112" t="str">
        <v>כן</v>
      </c>
      <c r="G112" t="str">
        <v>כן</v>
      </c>
      <c r="H112" t="str">
        <v>כן</v>
      </c>
      <c r="I112">
        <f>=HYPERLINK("https://mavat.iplan.gov.il/SV4/1/2005355262/310")</f>
      </c>
    </row>
    <row r="113">
      <c r="A113" t="str">
        <v>101-1161348</v>
      </c>
      <c r="B113" t="str">
        <v>שכונת מגורים אל-ולג'ה</v>
      </c>
      <c r="C113" t="str">
        <v>מחוזית</v>
      </c>
      <c r="D113" t="str">
        <v>ירושלים</v>
      </c>
      <c r="E113" t="str">
        <v>בבדיקת תנאי סף</v>
      </c>
      <c r="F113" t="str">
        <v>כן</v>
      </c>
      <c r="G113" t="str">
        <v>כן</v>
      </c>
      <c r="H113" t="str">
        <v>כן</v>
      </c>
      <c r="I113">
        <f>=HYPERLINK("https://mavat.iplan.gov.il/SV4/1/1005269444/310")</f>
      </c>
    </row>
    <row r="114">
      <c r="A114" t="str">
        <v>633-0505339</v>
      </c>
      <c r="B114" t="str">
        <v>הוספת יח"ד שלישית. מושב גיאה 25.</v>
      </c>
      <c r="C114" t="str">
        <v>מקומית</v>
      </c>
      <c r="D114" t="str">
        <v>גיאה,חוף אשקלון</v>
      </c>
      <c r="E114" t="str">
        <v>בבדיקת תנאי סף</v>
      </c>
      <c r="F114" t="str">
        <v>כן</v>
      </c>
      <c r="G114" t="str">
        <v>כן</v>
      </c>
      <c r="H114" t="str">
        <v>כן</v>
      </c>
      <c r="I114">
        <f>=HYPERLINK("https://mavat.iplan.gov.il/SV4/1/6000717669/310")</f>
      </c>
    </row>
    <row r="115">
      <c r="A115" t="str">
        <v>220-1121060</v>
      </c>
      <c r="B115" t="str">
        <v>הסדרת שימושים מגרש 318 קצרין</v>
      </c>
      <c r="C115" t="str">
        <v>מקומית</v>
      </c>
      <c r="D115" t="str">
        <v>קצרין</v>
      </c>
      <c r="E115" t="str">
        <v>בבדיקת תנאי סף</v>
      </c>
      <c r="F115" t="str">
        <v>כן</v>
      </c>
      <c r="G115" t="str">
        <v>כן</v>
      </c>
      <c r="H115" t="str">
        <v>כן</v>
      </c>
      <c r="I115">
        <f>=HYPERLINK("https://mavat.iplan.gov.il/SV4/1/2005244558/310")</f>
      </c>
    </row>
    <row r="116">
      <c r="A116" t="str">
        <v>101-1079292</v>
      </c>
      <c r="B116" t="str">
        <v>קירוי בגין, הרחבה דרומית לכיוון צומת בייט</v>
      </c>
      <c r="C116" t="str">
        <v>מחוזית</v>
      </c>
      <c r="D116" t="str">
        <v>ירושלים</v>
      </c>
      <c r="E116" t="str">
        <v>בבדיקת תנאי סף</v>
      </c>
      <c r="F116" t="str">
        <v>כן</v>
      </c>
      <c r="G116" t="str">
        <v>כן</v>
      </c>
      <c r="H116" t="str">
        <v>כן</v>
      </c>
      <c r="I116">
        <f>=HYPERLINK("https://mavat.iplan.gov.il/SV4/1/1005219048/310")</f>
      </c>
    </row>
    <row r="117">
      <c r="A117" t="str">
        <v>102-1053107</v>
      </c>
      <c r="B117" t="str">
        <v>תעסוקה ומגורים מצפון לנחל שורק, בית שמש</v>
      </c>
      <c r="C117" t="str">
        <v>מחוזית</v>
      </c>
      <c r="D117" t="str">
        <v>בית שמש,מטה יהודה,נחם</v>
      </c>
      <c r="E117" t="str">
        <v>בבדיקת תנאי סף</v>
      </c>
      <c r="F117" t="str">
        <v>כן</v>
      </c>
      <c r="G117" t="str">
        <v>כן</v>
      </c>
      <c r="H117" t="str">
        <v>כן</v>
      </c>
      <c r="I117">
        <f>=HYPERLINK("https://mavat.iplan.gov.il/SV4/1/1005203174/310")</f>
      </c>
    </row>
    <row r="118">
      <c r="A118" t="str">
        <v>261-0775700</v>
      </c>
      <c r="B118" t="str">
        <v>איחוד וחלוקה ללא הסכמה שכונת אבו שאח-שפרעם</v>
      </c>
      <c r="C118" t="str">
        <v>מקומית</v>
      </c>
      <c r="D118" t="str">
        <v>גבעות אלונים,צפת,שפרעם</v>
      </c>
      <c r="E118" t="str">
        <v>בבדיקת תנאי סף</v>
      </c>
      <c r="F118" t="str">
        <v>כן</v>
      </c>
      <c r="G118" t="str">
        <v>כן</v>
      </c>
      <c r="H118" t="str">
        <v>כן</v>
      </c>
      <c r="I118">
        <f>=HYPERLINK("https://mavat.iplan.gov.il/SV4/1/2001020325/310")</f>
      </c>
    </row>
    <row r="119">
      <c r="A119" t="str">
        <v>תתל/ 22/ ה</v>
      </c>
      <c r="B119" t="str">
        <v>השלמות למסילה המזרחית וקשת תעופה</v>
      </c>
      <c r="C119" t="str">
        <v>ארצית</v>
      </c>
      <c r="D119" t="str">
        <v>ג'לג'וליה,גלילית מחוז המרכז,דרום השרון,חבל מודיעין,חדרה,טייבה,טירה,כפר סבא,עמק חפר,קסם</v>
      </c>
      <c r="E119" t="str">
        <v>בבדיקת תנאי סף</v>
      </c>
      <c r="F119" t="str">
        <v>כן</v>
      </c>
      <c r="G119" t="str">
        <v>כן</v>
      </c>
      <c r="H119" t="str">
        <v>כן</v>
      </c>
      <c r="I119">
        <f>=HYPERLINK("https://mavat.iplan.gov.il/SV4/1/99005282458/310")</f>
      </c>
    </row>
    <row r="120">
      <c r="A120" t="str">
        <v>401-0792069</v>
      </c>
      <c r="B120" t="str">
        <v>בית יהושע, שינוי קו בניין קדמי</v>
      </c>
      <c r="C120" t="str">
        <v>מקומית</v>
      </c>
      <c r="D120" t="str">
        <v>בית יהושע,חוף השרון</v>
      </c>
      <c r="E120" t="str">
        <v>בבדיקת תנאי סף</v>
      </c>
      <c r="F120" t="str">
        <v>כן</v>
      </c>
      <c r="G120" t="str">
        <v>כן</v>
      </c>
      <c r="H120" t="str">
        <v>כן</v>
      </c>
      <c r="I120">
        <f>=HYPERLINK("https://mavat.iplan.gov.il/SV4/1/4001030809/310")</f>
      </c>
    </row>
    <row r="121">
      <c r="A121" t="str">
        <v>401-0649384</v>
      </c>
      <c r="B121" t="str">
        <v>מגרש כדורגל - חרוצים</v>
      </c>
      <c r="C121" t="str">
        <v>מקומית</v>
      </c>
      <c r="D121" t="str">
        <v>חוף השרון,חרוצים</v>
      </c>
      <c r="E121" t="str">
        <v>בבדיקת תנאי סף</v>
      </c>
      <c r="F121" t="str">
        <v>כן</v>
      </c>
      <c r="G121" t="str">
        <v>כן</v>
      </c>
      <c r="H121" t="str">
        <v>כן</v>
      </c>
      <c r="I121">
        <f>=HYPERLINK("https://mavat.iplan.gov.il/SV4/1/4000941693/310")</f>
      </c>
    </row>
    <row r="122">
      <c r="A122" t="str">
        <v>401-0737353</v>
      </c>
      <c r="B122" t="str">
        <v>שינוי חלוקת שטחים בנחלה גוש 9145 חלקה 32 באודים</v>
      </c>
      <c r="C122" t="str">
        <v>מקומית</v>
      </c>
      <c r="D122" t="str">
        <v>אודים,חוף השרון</v>
      </c>
      <c r="E122" t="str">
        <v>בבדיקת תנאי סף</v>
      </c>
      <c r="F122" t="str">
        <v>כן</v>
      </c>
      <c r="G122" t="str">
        <v>כן</v>
      </c>
      <c r="H122" t="str">
        <v>כן</v>
      </c>
      <c r="I122">
        <f>=HYPERLINK("https://mavat.iplan.gov.il/SV4/1/4000995853/310")</f>
      </c>
    </row>
    <row r="123">
      <c r="A123" t="str">
        <v>304-0349837</v>
      </c>
      <c r="B123" t="str">
        <v>קמפוס הנמל</v>
      </c>
      <c r="C123" t="str">
        <v>מקומית</v>
      </c>
      <c r="D123" t="str">
        <v>חיפה</v>
      </c>
      <c r="E123" t="str">
        <v>בבדיקת תנאי סף</v>
      </c>
      <c r="F123" t="str">
        <v>כן</v>
      </c>
      <c r="G123" t="str">
        <v>כן</v>
      </c>
      <c r="H123" t="str">
        <v>כן</v>
      </c>
      <c r="I123">
        <f>=HYPERLINK("https://mavat.iplan.gov.il/SV4/1/3000375201/310")</f>
      </c>
    </row>
    <row r="124">
      <c r="A124" t="str">
        <v>303-0640045</v>
      </c>
      <c r="B124" t="str">
        <v>קיסריה - חוף הזהב</v>
      </c>
      <c r="C124" t="str">
        <v>מחוזית</v>
      </c>
      <c r="D124" t="str">
        <v>חוף הכרמל</v>
      </c>
      <c r="E124" t="str">
        <v>בבדיקת תנאי סף</v>
      </c>
      <c r="F124" t="str">
        <v>כן</v>
      </c>
      <c r="G124" t="str">
        <v>כן</v>
      </c>
      <c r="H124" t="str">
        <v>כן</v>
      </c>
      <c r="I124">
        <f>=HYPERLINK("https://mavat.iplan.gov.il/SV4/1/3000936057/310")</f>
      </c>
    </row>
    <row r="125">
      <c r="A125" t="str">
        <v>יוש/ 4/ 822</v>
      </c>
      <c r="B125" t="str">
        <v>דרך שער יריחו</v>
      </c>
      <c r="C125" t="str">
        <v>יו"ש -ועדה מחוזית לתכנון ערים, כפרים ומבנים</v>
      </c>
      <c r="D125" t="str">
        <v>מחוזית - אזור יהודה ושומרון</v>
      </c>
      <c r="E125" t="str">
        <v>בבדיקת תנאי סף</v>
      </c>
      <c r="F125" t="str">
        <v>כן</v>
      </c>
      <c r="G125" t="str">
        <v>כן</v>
      </c>
      <c r="H125" t="str">
        <v>לא</v>
      </c>
      <c r="I125">
        <f>=HYPERLINK("https://mavat.iplan.gov.il/SV4/1/7000307583/310")</f>
      </c>
    </row>
    <row r="126">
      <c r="A126" t="str">
        <v>יוש/ 1/ 839</v>
      </c>
      <c r="B126" t="str">
        <v>יוש/ 1/ 839</v>
      </c>
      <c r="C126" t="str">
        <v>יו"ש -ועדה מחוזית לתכנון ערים, כפרים ומבנים</v>
      </c>
      <c r="D126" t="str">
        <v>מחוזית - אזור יהודה ושומרון</v>
      </c>
      <c r="E126" t="str">
        <v>בבדיקת תנאי סף</v>
      </c>
      <c r="F126" t="str">
        <v>כן</v>
      </c>
      <c r="G126" t="str">
        <v>כן</v>
      </c>
      <c r="H126" t="str">
        <v>לא</v>
      </c>
      <c r="I126">
        <f>=HYPERLINK("https://mavat.iplan.gov.il/SV4/1/7000266325/310")</f>
      </c>
      <c r="J126" t="str">
        <v>20210310</v>
      </c>
    </row>
    <row r="127">
      <c r="A127" t="str">
        <v>208-0693259</v>
      </c>
      <c r="B127" t="str">
        <v>הוספת מבנה תפעולי ורציפי אוטובוסים במרכז תחבורה קיים- רח' דרור</v>
      </c>
      <c r="C127" t="str">
        <v>מקומית</v>
      </c>
      <c r="D127" t="str">
        <v>כרמיאל</v>
      </c>
      <c r="E127" t="str">
        <v>בבדיקת תנאי סף</v>
      </c>
      <c r="F127" t="str">
        <v>כן</v>
      </c>
      <c r="G127" t="str">
        <v>כן</v>
      </c>
      <c r="H127" t="str">
        <v>כן</v>
      </c>
      <c r="I127">
        <f>=HYPERLINK("https://mavat.iplan.gov.il/SV4/1/2000967969/310")</f>
      </c>
    </row>
    <row r="128">
      <c r="A128" t="str">
        <v>633-0614420</v>
      </c>
      <c r="B128" t="str">
        <v>הסדרה ותוספת יחידת דיור שלישית בנחלה 57-מושב הודיה</v>
      </c>
      <c r="C128" t="str">
        <v>מקומית</v>
      </c>
      <c r="D128" t="str">
        <v>הודיה,חוף אשקלון</v>
      </c>
      <c r="E128" t="str">
        <v>בבדיקת תנאי סף</v>
      </c>
      <c r="F128" t="str">
        <v>כן</v>
      </c>
      <c r="G128" t="str">
        <v>כן</v>
      </c>
      <c r="H128" t="str">
        <v>כן</v>
      </c>
      <c r="I128">
        <f>=HYPERLINK("https://mavat.iplan.gov.il/SV4/1/6000921899/310")</f>
      </c>
    </row>
    <row r="129">
      <c r="A129" t="str">
        <v>633-0584144</v>
      </c>
      <c r="B129" t="str">
        <v>הוספת יח"ד שלישית. מושב גיאה 92.</v>
      </c>
      <c r="C129" t="str">
        <v>מקומית</v>
      </c>
      <c r="D129" t="str">
        <v>גיאה,חוף אשקלון</v>
      </c>
      <c r="E129" t="str">
        <v>בבדיקת תנאי סף</v>
      </c>
      <c r="F129" t="str">
        <v>כן</v>
      </c>
      <c r="G129" t="str">
        <v>כן</v>
      </c>
      <c r="H129" t="str">
        <v>כן</v>
      </c>
      <c r="I129">
        <f>=HYPERLINK("https://mavat.iplan.gov.il/SV4/1/6000904881/310")</f>
      </c>
    </row>
    <row r="130">
      <c r="A130" t="str">
        <v>633-0743385</v>
      </c>
      <c r="B130" t="str">
        <v>תוספת יחידת דיור שלישית בנחלה 87 - מושב בית שקמה</v>
      </c>
      <c r="C130" t="str">
        <v>מקומית</v>
      </c>
      <c r="D130" t="str">
        <v>בית שקמה,חוף אשקלון</v>
      </c>
      <c r="E130" t="str">
        <v>בבדיקת תנאי סף</v>
      </c>
      <c r="F130" t="str">
        <v>כן</v>
      </c>
      <c r="G130" t="str">
        <v>כן</v>
      </c>
      <c r="H130" t="str">
        <v>כן</v>
      </c>
      <c r="I130">
        <f>=HYPERLINK("https://mavat.iplan.gov.il/SV4/1/6000999635/310")</f>
      </c>
    </row>
    <row r="131">
      <c r="A131" t="str">
        <v>לה/ מק/ 1000/ 22/ ב</v>
      </c>
      <c r="B131" t="str">
        <v>הקטנת קווי בניין נקודתיים בהתאם לתשריט</v>
      </c>
      <c r="C131" t="str">
        <v>מקומית</v>
      </c>
      <c r="D131" t="str">
        <v>רמלה</v>
      </c>
      <c r="E131" t="str">
        <v>בבדיקת תנאי סף</v>
      </c>
      <c r="F131" t="str">
        <v>לא</v>
      </c>
      <c r="G131" t="str">
        <v>לא</v>
      </c>
      <c r="H131" t="str">
        <v>לא</v>
      </c>
      <c r="I131">
        <f>=HYPERLINK("https://mavat.iplan.gov.il/SV4/1/4073278/310")</f>
      </c>
    </row>
    <row r="132">
      <c r="A132" t="str">
        <v>לה/ מק/ מ/ 21/ א/ 5</v>
      </c>
      <c r="B132" t="str">
        <v>תכנית לאיחוד וחלוקה ללא הסכמת בעלים</v>
      </c>
      <c r="C132" t="str">
        <v>מקומית</v>
      </c>
      <c r="D132" t="str">
        <v>רמלה</v>
      </c>
      <c r="E132" t="str">
        <v>בבדיקת תנאי סף</v>
      </c>
      <c r="F132" t="str">
        <v>לא</v>
      </c>
      <c r="G132" t="str">
        <v>לא</v>
      </c>
      <c r="H132" t="str">
        <v>לא</v>
      </c>
      <c r="I132">
        <f>=HYPERLINK("https://mavat.iplan.gov.il/SV4/1/4066938/310")</f>
      </c>
    </row>
    <row r="133">
      <c r="A133" t="str">
        <v>412-0493460</v>
      </c>
      <c r="B133" t="str">
        <v>צור משה- שינוי גבולות שטח מגורים בישוב כפרי</v>
      </c>
      <c r="C133" t="str">
        <v>מקומית</v>
      </c>
      <c r="D133" t="str">
        <v>לב השרון,צור משה</v>
      </c>
      <c r="E133" t="str">
        <v>בבדיקת תנאי סף</v>
      </c>
      <c r="F133" t="str">
        <v>כן</v>
      </c>
      <c r="G133" t="str">
        <v>כן</v>
      </c>
      <c r="H133" t="str">
        <v>כן</v>
      </c>
      <c r="I133">
        <f>=HYPERLINK("https://mavat.iplan.gov.il/SV4/1/4000637371/310")</f>
      </c>
    </row>
    <row r="134">
      <c r="A134" t="str">
        <v>254-0286005</v>
      </c>
      <c r="B134" t="str">
        <v>אנרגיית רוח בעין השופט</v>
      </c>
      <c r="C134" t="str">
        <v>מחוזית</v>
      </c>
      <c r="D134" t="str">
        <v>יזרעאלים,מגידו,עין השופט</v>
      </c>
      <c r="E134" t="str">
        <v>בבדיקת תנאי סף</v>
      </c>
      <c r="F134" t="str">
        <v>כן</v>
      </c>
      <c r="G134" t="str">
        <v>כן</v>
      </c>
      <c r="H134" t="str">
        <v>כן</v>
      </c>
      <c r="I134">
        <f>=HYPERLINK("https://mavat.iplan.gov.il/SV4/1/2000344319/310")</f>
      </c>
    </row>
    <row r="135">
      <c r="A135" t="str">
        <v>לה/ מק/ מ/ 21/ א/ 3</v>
      </c>
      <c r="B135" t="str">
        <v>איחוד וחלוקה מחדש בהסכמת בעלים</v>
      </c>
      <c r="C135" t="str">
        <v>מקומית</v>
      </c>
      <c r="D135" t="str">
        <v>רמלה</v>
      </c>
      <c r="E135" t="str">
        <v>בבדיקת תנאי סף</v>
      </c>
      <c r="F135" t="str">
        <v>לא</v>
      </c>
      <c r="G135" t="str">
        <v>לא</v>
      </c>
      <c r="H135" t="str">
        <v>לא</v>
      </c>
      <c r="I135">
        <f>=HYPERLINK("https://mavat.iplan.gov.il/SV4/1/4066214/310")</f>
      </c>
    </row>
    <row r="136">
      <c r="A136" t="str">
        <v>הר/ מק/ 1304/ 4</v>
      </c>
      <c r="B136" t="str">
        <v>הקמת מרכז טניס בשטח ציבורי ע"י: איחוד וחלוקה,שינוי בגודל מגרש מינימלי.</v>
      </c>
      <c r="C136" t="str">
        <v>מקומית</v>
      </c>
      <c r="D136" t="str">
        <v>הוד השרון</v>
      </c>
      <c r="E136" t="str">
        <v>בבדיקת תנאי סף</v>
      </c>
      <c r="F136" t="str">
        <v>לא</v>
      </c>
      <c r="G136" t="str">
        <v>לא</v>
      </c>
      <c r="H136" t="str">
        <v>לא</v>
      </c>
      <c r="I136">
        <f>=HYPERLINK("https://mavat.iplan.gov.il/SV4/1/4072942/310")</f>
      </c>
    </row>
    <row r="137">
      <c r="A137" t="str">
        <v>602-0724575</v>
      </c>
      <c r="B137" t="str">
        <v>מפעל סוכר אזור תעשיה שחורת ב'</v>
      </c>
      <c r="C137" t="str">
        <v>מקומית</v>
      </c>
      <c r="D137" t="str">
        <v>אילת</v>
      </c>
      <c r="E137" t="str">
        <v>בבדיקת תנאי סף</v>
      </c>
      <c r="F137" t="str">
        <v>כן</v>
      </c>
      <c r="G137" t="str">
        <v>כן</v>
      </c>
      <c r="H137" t="str">
        <v>כן</v>
      </c>
      <c r="I137">
        <f>=HYPERLINK("https://mavat.iplan.gov.il/SV4/1/6000988073/310")</f>
      </c>
    </row>
    <row r="138">
      <c r="A138" t="str">
        <v>יוש/ 28/ 510</v>
      </c>
      <c r="B138" t="str">
        <v>יקב גבעת החרסינה קריית ארבע</v>
      </c>
      <c r="C138" t="str">
        <v>יו"ש -ועדה מחוזית לתכנון ערים, כפרים ומבנים</v>
      </c>
      <c r="D138" t="str">
        <v>קריית ארבע</v>
      </c>
      <c r="E138" t="str">
        <v>בבדיקת תנאי סף</v>
      </c>
      <c r="F138" t="str">
        <v>לא</v>
      </c>
      <c r="G138" t="str">
        <v>לא</v>
      </c>
      <c r="H138" t="str">
        <v>לא</v>
      </c>
      <c r="I138">
        <f>=HYPERLINK("https://mavat.iplan.gov.il/SV4/1/7001024353/310")</f>
      </c>
    </row>
    <row r="139">
      <c r="A139" t="str">
        <v>633-0562017</v>
      </c>
      <c r="B139" t="str">
        <v>משק 49, מושב משען</v>
      </c>
      <c r="C139" t="str">
        <v>מקומית</v>
      </c>
      <c r="D139" t="str">
        <v>חוף אשקלון,משען</v>
      </c>
      <c r="E139" t="str">
        <v>בבדיקת תנאי סף</v>
      </c>
      <c r="F139" t="str">
        <v>כן</v>
      </c>
      <c r="G139" t="str">
        <v>כן</v>
      </c>
      <c r="H139" t="str">
        <v>כן</v>
      </c>
      <c r="I139">
        <f>=HYPERLINK("https://mavat.iplan.gov.il/SV4/1/6000894085/310")</f>
      </c>
    </row>
    <row r="140">
      <c r="A140" t="str">
        <v>403-0566109</v>
      </c>
      <c r="B140" t="str">
        <v>ניוד שטחים</v>
      </c>
      <c r="C140" t="str">
        <v>מקומית</v>
      </c>
      <c r="D140" t="str">
        <v>טירה</v>
      </c>
      <c r="E140" t="str">
        <v>בבדיקת תנאי סף</v>
      </c>
      <c r="F140" t="str">
        <v>כן</v>
      </c>
      <c r="G140" t="str">
        <v>כן</v>
      </c>
      <c r="H140" t="str">
        <v>כן</v>
      </c>
      <c r="I140">
        <f>=HYPERLINK("https://mavat.iplan.gov.il/SV4/1/4000896247/310")</f>
      </c>
    </row>
    <row r="141">
      <c r="A141" t="str">
        <v>555-0581215</v>
      </c>
      <c r="B141" t="str">
        <v>מאא/מק/1133 טרמינל סנטר, החלפת שצ"פ-שפ"פ</v>
      </c>
      <c r="C141" t="str">
        <v>מקומית</v>
      </c>
      <c r="D141" t="str">
        <v>אור יהודה</v>
      </c>
      <c r="E141" t="str">
        <v>בבדיקת תנאי סף</v>
      </c>
      <c r="F141" t="str">
        <v>כן</v>
      </c>
      <c r="G141" t="str">
        <v>כן</v>
      </c>
      <c r="H141" t="str">
        <v>כן</v>
      </c>
      <c r="I141">
        <f>=HYPERLINK("https://mavat.iplan.gov.il/SV4/1/5000903409/310")</f>
      </c>
    </row>
    <row r="142">
      <c r="A142" t="str">
        <v>222-0364265</v>
      </c>
      <c r="B142" t="str">
        <v>הסדרת זכויות בניה תת קרקעיות- שתית</v>
      </c>
      <c r="C142" t="str">
        <v>מקומית</v>
      </c>
      <c r="D142" t="str">
        <v>יקנעם עילית</v>
      </c>
      <c r="E142" t="str">
        <v>בבדיקת תנאי סף</v>
      </c>
      <c r="F142" t="str">
        <v>כן</v>
      </c>
      <c r="G142" t="str">
        <v>כן</v>
      </c>
      <c r="H142" t="str">
        <v>כן</v>
      </c>
      <c r="I142">
        <f>=HYPERLINK("https://mavat.iplan.gov.il/SV4/1/2000382291/310")</f>
      </c>
    </row>
    <row r="143">
      <c r="A143" t="str">
        <v>304-0542654</v>
      </c>
      <c r="B143" t="str">
        <v>חפ/מק/1135/כב/1 - בינוי ברח' מנדל זינגר - סביוני דניה</v>
      </c>
      <c r="C143" t="str">
        <v>מקומית</v>
      </c>
      <c r="D143" t="str">
        <v>חיפה</v>
      </c>
      <c r="E143" t="str">
        <v>בבדיקת תנאי סף</v>
      </c>
      <c r="F143" t="str">
        <v>כן</v>
      </c>
      <c r="G143" t="str">
        <v>כן</v>
      </c>
      <c r="H143" t="str">
        <v>כן</v>
      </c>
      <c r="I143">
        <f>=HYPERLINK("https://mavat.iplan.gov.il/SV4/1/3000883613/310")</f>
      </c>
    </row>
    <row r="144">
      <c r="A144" t="str">
        <v>354-0586115</v>
      </c>
      <c r="B144" t="str">
        <v>חלוקה חדשה לחלקה 8 גוש 12165 ערערה</v>
      </c>
      <c r="C144" t="str">
        <v>מקומית</v>
      </c>
      <c r="D144" t="str">
        <v>עירון,ערערה</v>
      </c>
      <c r="E144" t="str">
        <v>בבדיקת תנאי סף</v>
      </c>
      <c r="F144" t="str">
        <v>כן</v>
      </c>
      <c r="G144" t="str">
        <v>כן</v>
      </c>
      <c r="H144" t="str">
        <v>כן</v>
      </c>
      <c r="I144">
        <f>=HYPERLINK("https://mavat.iplan.gov.il/SV4/1/3000906121/310")</f>
      </c>
    </row>
    <row r="145">
      <c r="A145" t="str">
        <v>353-0512434</v>
      </c>
      <c r="B145" t="str">
        <v>בית עלמין, בנימינה</v>
      </c>
      <c r="C145" t="str">
        <v>מקומית</v>
      </c>
      <c r="D145" t="str">
        <v>בנימינה-גבעת עדה,יישובי הברון</v>
      </c>
      <c r="E145" t="str">
        <v>בבדיקת תנאי סף</v>
      </c>
      <c r="F145" t="str">
        <v>כן</v>
      </c>
      <c r="G145" t="str">
        <v>כן</v>
      </c>
      <c r="H145" t="str">
        <v>כן</v>
      </c>
      <c r="I145">
        <f>=HYPERLINK("https://mavat.iplan.gov.il/SV4/1/3000756603/310")</f>
      </c>
    </row>
    <row r="146">
      <c r="A146" t="str">
        <v>354-0354381</v>
      </c>
      <c r="B146" t="str">
        <v>חלוקה חדשה לחלק ממתחם מס'(02) במערב ברטעה</v>
      </c>
      <c r="C146" t="str">
        <v>מקומית</v>
      </c>
      <c r="D146" t="str">
        <v>בסמ"ה,עירון</v>
      </c>
      <c r="E146" t="str">
        <v>בבדיקת תנאי סף</v>
      </c>
      <c r="F146" t="str">
        <v>כן</v>
      </c>
      <c r="G146" t="str">
        <v>כן</v>
      </c>
      <c r="H146" t="str">
        <v>כן</v>
      </c>
      <c r="I146">
        <f>=HYPERLINK("https://mavat.iplan.gov.il/SV4/1/3000377561/310")</f>
      </c>
    </row>
    <row r="147">
      <c r="A147" t="str">
        <v>552-0455170</v>
      </c>
      <c r="B147" t="str">
        <v>מאא/מק/1/541</v>
      </c>
      <c r="C147" t="str">
        <v>מקומית</v>
      </c>
      <c r="D147" t="str">
        <v>אור יהודה,אור יהודה-אזור *ישן*</v>
      </c>
      <c r="E147" t="str">
        <v>בבדיקת תנאי סף</v>
      </c>
      <c r="F147" t="str">
        <v>כן</v>
      </c>
      <c r="G147" t="str">
        <v>כן</v>
      </c>
      <c r="H147" t="str">
        <v>כן</v>
      </c>
      <c r="I147">
        <f>=HYPERLINK("https://mavat.iplan.gov.il/SV4/1/5000428987/310")</f>
      </c>
    </row>
    <row r="148">
      <c r="A148" t="str">
        <v>420-0314377</v>
      </c>
      <c r="B148" t="str">
        <v>מד/מק/11/23-הסדרת צומת הלבונה, התלתן, ושד' עמק איילון</v>
      </c>
      <c r="C148" t="str">
        <v>מקומית</v>
      </c>
      <c r="D148" t="str">
        <v>מודיעין-מכבים-רעות</v>
      </c>
      <c r="E148" t="str">
        <v>בבדיקת תנאי סף</v>
      </c>
      <c r="F148" t="str">
        <v>כן</v>
      </c>
      <c r="G148" t="str">
        <v>כן</v>
      </c>
      <c r="H148" t="str">
        <v>כן</v>
      </c>
      <c r="I148">
        <f>=HYPERLINK("https://mavat.iplan.gov.il/SV4/1/4000357139/310")</f>
      </c>
    </row>
    <row r="149">
      <c r="A149" t="str">
        <v>634-0408658</v>
      </c>
      <c r="B149" t="str">
        <v>אמציה- הצרחת מגרשי מגורים (כרמי קטיף)</v>
      </c>
      <c r="C149" t="str">
        <v>מקומית</v>
      </c>
      <c r="D149" t="str">
        <v>אמציה,לכיש</v>
      </c>
      <c r="E149" t="str">
        <v>בבדיקת תנאי סף</v>
      </c>
      <c r="F149" t="str">
        <v>כן</v>
      </c>
      <c r="G149" t="str">
        <v>כן</v>
      </c>
      <c r="H149" t="str">
        <v>כן</v>
      </c>
      <c r="I149">
        <f>=HYPERLINK("https://mavat.iplan.gov.il/SV4/1/6000405239/310")</f>
      </c>
    </row>
    <row r="150">
      <c r="A150" t="str">
        <v>304-0138115</v>
      </c>
      <c r="B150" t="str">
        <v>חפ/מק/1584/ד- תגבור זכויות בניה ברח' בני ברית - רמת בגין</v>
      </c>
      <c r="C150" t="str">
        <v>מקומית</v>
      </c>
      <c r="D150" t="str">
        <v>חיפה</v>
      </c>
      <c r="E150" t="str">
        <v>בבדיקת תנאי סף</v>
      </c>
      <c r="F150" t="str">
        <v>כן</v>
      </c>
      <c r="G150" t="str">
        <v>כן</v>
      </c>
      <c r="H150" t="str">
        <v>כן</v>
      </c>
      <c r="I150">
        <f>=HYPERLINK("https://mavat.iplan.gov.il/SV4/1/3000264053/310")</f>
      </c>
    </row>
    <row r="151">
      <c r="A151" t="str">
        <v>ענ/ מק/ 918</v>
      </c>
      <c r="B151" t="str">
        <v>חלוקה חדשה ללא הסכמת הבעלים, באקה אלגרבייה</v>
      </c>
      <c r="C151" t="str">
        <v>מקומית</v>
      </c>
      <c r="D151" t="str">
        <v>באקה אל ג'רביה,באקה אל גרבייה,עירון</v>
      </c>
      <c r="E151" t="str">
        <v>בבדיקת תנאי סף</v>
      </c>
      <c r="F151" t="str">
        <v>לא</v>
      </c>
      <c r="G151" t="str">
        <v>לא</v>
      </c>
      <c r="H151" t="str">
        <v>לא</v>
      </c>
      <c r="I151">
        <f>=HYPERLINK("https://mavat.iplan.gov.il/SV4/1/3072034/310")</f>
      </c>
    </row>
    <row r="152">
      <c r="A152" t="str">
        <v>גת/ מק/ 5361/ 4</v>
      </c>
      <c r="B152" t="str">
        <v>איחוד וחלוקה ושינוי בקווי בניין בנחלות הישוב- מושב הזורעים</v>
      </c>
      <c r="C152" t="str">
        <v>מקומית</v>
      </c>
      <c r="D152" t="str">
        <v>הגליל התחתון,הזורעים</v>
      </c>
      <c r="E152" t="str">
        <v>בבדיקת תנאי סף</v>
      </c>
      <c r="F152" t="str">
        <v>לא</v>
      </c>
      <c r="G152" t="str">
        <v>לא</v>
      </c>
      <c r="H152" t="str">
        <v>לא</v>
      </c>
      <c r="I152">
        <f>=HYPERLINK("https://mavat.iplan.gov.il/SV4/1/2000240323/310")</f>
      </c>
    </row>
    <row r="153">
      <c r="A153" t="str">
        <v>204-0250456</v>
      </c>
      <c r="B153" t="str">
        <v>החלפת שטחים סיוון אליהו-אביטל</v>
      </c>
      <c r="C153" t="str">
        <v>מקומית</v>
      </c>
      <c r="D153" t="str">
        <v>אביטל,הגילבוע,הגלבוע</v>
      </c>
      <c r="E153" t="str">
        <v>בבדיקת תנאי סף</v>
      </c>
      <c r="F153" t="str">
        <v>כן</v>
      </c>
      <c r="G153" t="str">
        <v>כן</v>
      </c>
      <c r="H153" t="str">
        <v>כן</v>
      </c>
      <c r="I153">
        <f>=HYPERLINK("https://mavat.iplan.gov.il/SV4/1/2000327341/310")</f>
      </c>
    </row>
    <row r="154">
      <c r="A154" t="str">
        <v>605-0371047</v>
      </c>
      <c r="B154" t="str">
        <v>מסוף רמות - באר שבע</v>
      </c>
      <c r="C154" t="str">
        <v>מקומית</v>
      </c>
      <c r="D154" t="str">
        <v>באר שבע</v>
      </c>
      <c r="E154" t="str">
        <v>בבדיקת תנאי סף</v>
      </c>
      <c r="F154" t="str">
        <v>כן</v>
      </c>
      <c r="G154" t="str">
        <v>כן</v>
      </c>
      <c r="H154" t="str">
        <v>כן</v>
      </c>
      <c r="I154">
        <f>=HYPERLINK("https://mavat.iplan.gov.il/SV4/1/6000386019/310")</f>
      </c>
    </row>
    <row r="155">
      <c r="A155" t="str">
        <v>216-0396721</v>
      </c>
      <c r="B155" t="str">
        <v>מגרשים 35+120 צפת-תוספת זכויות בנייה</v>
      </c>
      <c r="C155" t="str">
        <v>מקומית</v>
      </c>
      <c r="D155" t="str">
        <v>צפת</v>
      </c>
      <c r="E155" t="str">
        <v>בבדיקת תנאי סף</v>
      </c>
      <c r="F155" t="str">
        <v>כן</v>
      </c>
      <c r="G155" t="str">
        <v>כן</v>
      </c>
      <c r="H155" t="str">
        <v>כן</v>
      </c>
      <c r="I155">
        <f>=HYPERLINK("https://mavat.iplan.gov.il/SV4/1/2000399371/310")</f>
      </c>
    </row>
    <row r="156">
      <c r="A156" t="str">
        <v>402-0181669</v>
      </c>
      <c r="B156" t="str">
        <v>הקטנת קוו בניין כביש 6"חוצה ישראל"</v>
      </c>
      <c r="C156" t="str">
        <v>מקומית</v>
      </c>
      <c r="D156" t="str">
        <v>טייבה</v>
      </c>
      <c r="E156" t="str">
        <v>בבדיקת תנאי סף</v>
      </c>
      <c r="F156" t="str">
        <v>כן</v>
      </c>
      <c r="G156" t="str">
        <v>כן</v>
      </c>
      <c r="H156" t="str">
        <v>כן</v>
      </c>
      <c r="I156">
        <f>=HYPERLINK("https://mavat.iplan.gov.il/SV4/1/4000290841/310")</f>
      </c>
    </row>
    <row r="157">
      <c r="A157" t="str">
        <v>ענ/ מק/ 1117</v>
      </c>
      <c r="B157" t="str">
        <v>חלוקה חדשה ללא הסכמה בשכונת אלביאר אום אל פחם.</v>
      </c>
      <c r="C157" t="str">
        <v>מקומית</v>
      </c>
      <c r="D157" t="str">
        <v>אום אל-פחם,עירון</v>
      </c>
      <c r="E157" t="str">
        <v>בבדיקת תנאי סף</v>
      </c>
      <c r="F157" t="str">
        <v>לא</v>
      </c>
      <c r="G157" t="str">
        <v>לא</v>
      </c>
      <c r="H157" t="str">
        <v>לא</v>
      </c>
      <c r="I157">
        <f>=HYPERLINK("https://mavat.iplan.gov.il/SV4/1/3000213637/310")</f>
      </c>
    </row>
    <row r="158">
      <c r="A158" t="str">
        <v>421-0368936</v>
      </c>
      <c r="B158" t="str">
        <v>בית עלמין יישובי שוהם</v>
      </c>
      <c r="C158" t="str">
        <v>מקומית</v>
      </c>
      <c r="D158" t="str">
        <v>שהם</v>
      </c>
      <c r="E158" t="str">
        <v>בבדיקת תנאי סף</v>
      </c>
      <c r="F158" t="str">
        <v>כן</v>
      </c>
      <c r="G158" t="str">
        <v>כן</v>
      </c>
      <c r="H158" t="str">
        <v>כן</v>
      </c>
      <c r="I158">
        <f>=HYPERLINK("https://mavat.iplan.gov.il/SV4/1/4000384807/310")</f>
      </c>
    </row>
    <row r="159">
      <c r="A159" t="str">
        <v>633-0325472</v>
      </c>
      <c r="B159" t="str">
        <v>שינוי קווי בנין במגרש 101-בת הדר</v>
      </c>
      <c r="C159" t="str">
        <v>מקומית</v>
      </c>
      <c r="D159" t="str">
        <v>בת הדר,חוף אשקלון</v>
      </c>
      <c r="E159" t="str">
        <v>בבדיקת תנאי סף</v>
      </c>
      <c r="F159" t="str">
        <v>כן</v>
      </c>
      <c r="G159" t="str">
        <v>כן</v>
      </c>
      <c r="H159" t="str">
        <v>כן</v>
      </c>
      <c r="I159">
        <f>=HYPERLINK("https://mavat.iplan.gov.il/SV4/1/6000362773/310")</f>
      </c>
    </row>
    <row r="160">
      <c r="A160" t="str">
        <v>354-0136861</v>
      </c>
      <c r="B160" t="str">
        <v>חיבור דרומי של דרך הטבעת באקה אלגרבייה</v>
      </c>
      <c r="C160" t="str">
        <v>מקומית</v>
      </c>
      <c r="D160" t="str">
        <v>באקה אל ג'רביה,באקה אל גרבייה,עירון</v>
      </c>
      <c r="E160" t="str">
        <v>בבדיקת תנאי סף</v>
      </c>
      <c r="F160" t="str">
        <v>כן</v>
      </c>
      <c r="G160" t="str">
        <v>כן</v>
      </c>
      <c r="H160" t="str">
        <v>כן</v>
      </c>
      <c r="I160">
        <f>=HYPERLINK("https://mavat.iplan.gov.il/SV4/1/3000263295/310")</f>
      </c>
    </row>
    <row r="161">
      <c r="A161" t="str">
        <v>בבכ/ מק/ 16050/ 14/ 7</v>
      </c>
      <c r="B161" t="str">
        <v>תכנית איחוד וחלוקה ללא הסכמה בתחום תכנית, דיר אל אסד</v>
      </c>
      <c r="C161" t="str">
        <v>מקומית</v>
      </c>
      <c r="D161" t="str">
        <v>בקעת בית הכרם,דיר אל-אסד</v>
      </c>
      <c r="E161" t="str">
        <v>בבדיקת תנאי סף</v>
      </c>
      <c r="F161" t="str">
        <v>לא</v>
      </c>
      <c r="G161" t="str">
        <v>לא</v>
      </c>
      <c r="H161" t="str">
        <v>לא</v>
      </c>
      <c r="I161">
        <f>=HYPERLINK("https://mavat.iplan.gov.il/SV4/1/2000339941/310")</f>
      </c>
    </row>
    <row r="162">
      <c r="A162" t="str">
        <v>611-0349696</v>
      </c>
      <c r="B162" t="str">
        <v>ניוד זכויות מגוש 1881 מגרש 1223 לטובת גוש 1881 מגרש 226</v>
      </c>
      <c r="C162" t="str">
        <v>מקומית</v>
      </c>
      <c r="D162" t="str">
        <v>שדרות</v>
      </c>
      <c r="E162" t="str">
        <v>בבדיקת תנאי סף</v>
      </c>
      <c r="F162" t="str">
        <v>כן</v>
      </c>
      <c r="G162" t="str">
        <v>כן</v>
      </c>
      <c r="H162" t="str">
        <v>כן</v>
      </c>
      <c r="I162">
        <f>=HYPERLINK("https://mavat.iplan.gov.il/SV4/1/6000375107/310")</f>
      </c>
    </row>
    <row r="163">
      <c r="A163" t="str">
        <v>611-0321620</v>
      </c>
      <c r="B163" t="str">
        <v>מגרש 302 שדרות</v>
      </c>
      <c r="C163" t="str">
        <v>מקומית</v>
      </c>
      <c r="D163" t="str">
        <v>שדרות</v>
      </c>
      <c r="E163" t="str">
        <v>בבדיקת תנאי סף</v>
      </c>
      <c r="F163" t="str">
        <v>כן</v>
      </c>
      <c r="G163" t="str">
        <v>כן</v>
      </c>
      <c r="H163" t="str">
        <v>כן</v>
      </c>
      <c r="I163">
        <f>=HYPERLINK("https://mavat.iplan.gov.il/SV4/1/6000360859/310")</f>
      </c>
    </row>
    <row r="164">
      <c r="A164" t="str">
        <v>201-0277582</v>
      </c>
      <c r="B164" t="str">
        <v>קיבוץ אפק - איחוד וחלוקה</v>
      </c>
      <c r="C164" t="str">
        <v>מקומית</v>
      </c>
      <c r="D164" t="str">
        <v>אפק,חבל אשר,מטה אשר</v>
      </c>
      <c r="E164" t="str">
        <v>בבדיקת תנאי סף</v>
      </c>
      <c r="F164" t="str">
        <v>כן</v>
      </c>
      <c r="G164" t="str">
        <v>כן</v>
      </c>
      <c r="H164" t="str">
        <v>כן</v>
      </c>
      <c r="I164">
        <f>=HYPERLINK("https://mavat.iplan.gov.il/SV4/1/2000340401/310")</f>
      </c>
    </row>
    <row r="165">
      <c r="A165" t="str">
        <v>606-0249342</v>
      </c>
      <c r="B165" t="str">
        <v>מתחם מסחרי ע. צובארי אזור התעשיה קרית גת, תוכנית מספר 9/מק/2061</v>
      </c>
      <c r="C165" t="str">
        <v>מקומית</v>
      </c>
      <c r="D165" t="str">
        <v>קרית גת</v>
      </c>
      <c r="E165" t="str">
        <v>בבדיקת תנאי סף</v>
      </c>
      <c r="F165" t="str">
        <v>כן</v>
      </c>
      <c r="G165" t="str">
        <v>כן</v>
      </c>
      <c r="H165" t="str">
        <v>כן</v>
      </c>
      <c r="I165">
        <f>=HYPERLINK("https://mavat.iplan.gov.il/SV4/1/6000326749/310")</f>
      </c>
    </row>
    <row r="166">
      <c r="A166" t="str">
        <v>421-0310656</v>
      </c>
      <c r="B166" t="str">
        <v>הגדלת שטח בית ספר אבן חן שוהם</v>
      </c>
      <c r="C166" t="str">
        <v>מקומית</v>
      </c>
      <c r="D166" t="str">
        <v>שהם</v>
      </c>
      <c r="E166" t="str">
        <v>בבדיקת תנאי סף</v>
      </c>
      <c r="F166" t="str">
        <v>כן</v>
      </c>
      <c r="G166" t="str">
        <v>כן</v>
      </c>
      <c r="H166" t="str">
        <v>כן</v>
      </c>
      <c r="I166">
        <f>=HYPERLINK("https://mavat.iplan.gov.il/SV4/1/4000355445/310")</f>
      </c>
    </row>
    <row r="167">
      <c r="A167" t="str">
        <v>6/ מע/ מק/ 12614/ 82</v>
      </c>
      <c r="B167" t="str">
        <v>איחוד וחלוקה ללא הסכמה, הרחבת דרך ,שביל ושטח למבני ציבור, ריינה</v>
      </c>
      <c r="C167" t="str">
        <v>מקומית</v>
      </c>
      <c r="D167" t="str">
        <v>מבוא העמקים,ריינה</v>
      </c>
      <c r="E167" t="str">
        <v>בבדיקת תנאי סף</v>
      </c>
      <c r="F167" t="str">
        <v>לא</v>
      </c>
      <c r="G167" t="str">
        <v>לא</v>
      </c>
      <c r="H167" t="str">
        <v>לא</v>
      </c>
      <c r="I167">
        <f>=HYPERLINK("https://mavat.iplan.gov.il/SV4/1/2000372983/310")</f>
      </c>
    </row>
    <row r="168">
      <c r="A168" t="str">
        <v>219-0285437</v>
      </c>
      <c r="B168" t="str">
        <v>הסטת תוואי דרך באיזור המשקי ושינוי קוי בנין - מושב יונתן.</v>
      </c>
      <c r="C168" t="str">
        <v>מקומית</v>
      </c>
      <c r="D168" t="str">
        <v>גולן,יונתן</v>
      </c>
      <c r="E168" t="str">
        <v>בבדיקת תנאי סף</v>
      </c>
      <c r="F168" t="str">
        <v>כן</v>
      </c>
      <c r="G168" t="str">
        <v>כן</v>
      </c>
      <c r="H168" t="str">
        <v>כן</v>
      </c>
      <c r="I168">
        <f>=HYPERLINK("https://mavat.iplan.gov.il/SV4/1/2000344069/310")</f>
      </c>
    </row>
    <row r="169">
      <c r="A169" t="str">
        <v>618-0215327</v>
      </c>
      <c r="B169" t="str">
        <v>תכנית איחוד וחלוקה בהסכמת בעלים עפ"י סעיף 62א (א) (1), (4)</v>
      </c>
      <c r="C169" t="str">
        <v>מקומית</v>
      </c>
      <c r="D169" t="str">
        <v>רהט</v>
      </c>
      <c r="E169" t="str">
        <v>בבדיקת תנאי סף</v>
      </c>
      <c r="F169" t="str">
        <v>כן</v>
      </c>
      <c r="G169" t="str">
        <v>כן</v>
      </c>
      <c r="H169" t="str">
        <v>כן</v>
      </c>
      <c r="I169">
        <f>=HYPERLINK("https://mavat.iplan.gov.il/SV4/1/6000309227/310")</f>
      </c>
    </row>
    <row r="170">
      <c r="A170" t="str">
        <v>303-0307124</v>
      </c>
      <c r="B170" t="str">
        <v>הרחבת שטח למבנים ומוסדות ציבור בכפר גלים</v>
      </c>
      <c r="C170" t="str">
        <v>מקומית</v>
      </c>
      <c r="D170" t="str">
        <v>חוף הכרמל,כפר גלים</v>
      </c>
      <c r="E170" t="str">
        <v>בבדיקת תנאי סף</v>
      </c>
      <c r="F170" t="str">
        <v>כן</v>
      </c>
      <c r="G170" t="str">
        <v>כן</v>
      </c>
      <c r="H170" t="str">
        <v>כן</v>
      </c>
      <c r="I170">
        <f>=HYPERLINK("https://mavat.iplan.gov.il/SV4/1/3000353787/310")</f>
      </c>
    </row>
    <row r="171">
      <c r="A171" t="str">
        <v>656-0257972</v>
      </c>
      <c r="B171" t="str">
        <v>מלון "לוט" - שינוי בבינוי</v>
      </c>
      <c r="C171" t="str">
        <v>מקומית</v>
      </c>
      <c r="D171" t="str">
        <v>תמר</v>
      </c>
      <c r="E171" t="str">
        <v>בבדיקת תנאי סף</v>
      </c>
      <c r="F171" t="str">
        <v>כן</v>
      </c>
      <c r="G171" t="str">
        <v>כן</v>
      </c>
      <c r="H171" t="str">
        <v>כן</v>
      </c>
      <c r="I171">
        <f>=HYPERLINK("https://mavat.iplan.gov.il/SV4/1/6000330875/310")</f>
      </c>
    </row>
    <row r="172">
      <c r="A172" t="str">
        <v>8/ מק/ 2129</v>
      </c>
      <c r="B172" t="str">
        <v>א.ת. מבצע - מגרש 610</v>
      </c>
      <c r="C172" t="str">
        <v>מקומית</v>
      </c>
      <c r="D172" t="str">
        <v>באר טוביה</v>
      </c>
      <c r="E172" t="str">
        <v>בבדיקת תנאי סף</v>
      </c>
      <c r="F172" t="str">
        <v>לא</v>
      </c>
      <c r="G172" t="str">
        <v>לא</v>
      </c>
      <c r="H172" t="str">
        <v>לא</v>
      </c>
      <c r="I172">
        <f>=HYPERLINK("https://mavat.iplan.gov.il/SV4/1/6000341807/310")</f>
      </c>
    </row>
    <row r="173">
      <c r="A173" t="str">
        <v>ענ/ מק/ 908</v>
      </c>
      <c r="B173" t="str">
        <v>איחוד וחלוקה והחלפת מקום שטח לבניני ציבור באקה אל גרבייה</v>
      </c>
      <c r="C173" t="str">
        <v>מקומית</v>
      </c>
      <c r="D173" t="str">
        <v>באקה אל ג'רביה,באקה אל גרבייה,עירון</v>
      </c>
      <c r="E173" t="str">
        <v>בבדיקת תנאי סף</v>
      </c>
      <c r="F173" t="str">
        <v>לא</v>
      </c>
      <c r="G173" t="str">
        <v>לא</v>
      </c>
      <c r="H173" t="str">
        <v>לא</v>
      </c>
      <c r="I173">
        <f>=HYPERLINK("https://mavat.iplan.gov.il/SV4/1/3000326973/310")</f>
      </c>
    </row>
    <row r="174">
      <c r="A174" t="str">
        <v>405-0136069</v>
      </c>
      <c r="B174" t="str">
        <v>כס/מק/50/1/ג/1 - איחוד וחלוקה ושטחי ציבור</v>
      </c>
      <c r="C174" t="str">
        <v>מקומית</v>
      </c>
      <c r="D174" t="str">
        <v>כפר סבא</v>
      </c>
      <c r="E174" t="str">
        <v>בבדיקת תנאי סף</v>
      </c>
      <c r="F174" t="str">
        <v>כן</v>
      </c>
      <c r="G174" t="str">
        <v>כן</v>
      </c>
      <c r="H174" t="str">
        <v>כן</v>
      </c>
      <c r="I174">
        <f>=HYPERLINK("https://mavat.iplan.gov.il/SV4/1/4000262835/310")</f>
      </c>
    </row>
    <row r="175">
      <c r="A175" t="str">
        <v>יז/ מק/ 16443/ 09</v>
      </c>
      <c r="B175" t="str">
        <v>תכנית חלוקה קרקע ללא הסכמת הבעלים, זרזיר</v>
      </c>
      <c r="C175" t="str">
        <v>מקומית</v>
      </c>
      <c r="D175" t="str">
        <v>זרזיר,יזרעאלים</v>
      </c>
      <c r="E175" t="str">
        <v>בבדיקת תנאי סף</v>
      </c>
      <c r="F175" t="str">
        <v>לא</v>
      </c>
      <c r="G175" t="str">
        <v>לא</v>
      </c>
      <c r="H175" t="str">
        <v>לא</v>
      </c>
      <c r="I175">
        <f>=HYPERLINK("https://mavat.iplan.gov.il/SV4/1/2000324797/310")</f>
      </c>
    </row>
    <row r="176">
      <c r="A176" t="str">
        <v>בש/ מק/ 853/ כד</v>
      </c>
      <c r="B176" t="str">
        <v>מתחם נופי שמש , שינוי למגרש מס' 1 ו- 2 , בית שמש</v>
      </c>
      <c r="C176" t="str">
        <v>מקומית</v>
      </c>
      <c r="D176" t="str">
        <v>בית שמש</v>
      </c>
      <c r="E176" t="str">
        <v>בבדיקת תנאי סף</v>
      </c>
      <c r="F176" t="str">
        <v>לא</v>
      </c>
      <c r="G176" t="str">
        <v>לא</v>
      </c>
      <c r="H176" t="str">
        <v>לא</v>
      </c>
      <c r="I176">
        <f>=HYPERLINK("https://mavat.iplan.gov.il/SV4/1/1000318537/310")</f>
      </c>
    </row>
    <row r="177">
      <c r="A177" t="str">
        <v>יוש/ 1/ 2/ 1/ 411</v>
      </c>
      <c r="B177" t="str">
        <v>חוות נוער "שדה בר"</v>
      </c>
      <c r="C177" t="str">
        <v>יו"ש -מועצת התכנון העליונה</v>
      </c>
      <c r="D177" t="str">
        <v>גוש עציון,נוקדים</v>
      </c>
      <c r="E177" t="str">
        <v>בבדיקת תנאי סף</v>
      </c>
      <c r="F177" t="str">
        <v>לא</v>
      </c>
      <c r="G177" t="str">
        <v>לא</v>
      </c>
      <c r="H177" t="str">
        <v>לא</v>
      </c>
      <c r="I177">
        <f>=HYPERLINK("https://mavat.iplan.gov.il/SV4/1/7000328523/310")</f>
      </c>
    </row>
    <row r="178">
      <c r="A178" t="str">
        <v>נס/ מק/ 126/ א/ 1</v>
      </c>
      <c r="B178" t="str">
        <v>איחוד וחלוקת מגרשים</v>
      </c>
      <c r="C178" t="str">
        <v>מקומית</v>
      </c>
      <c r="D178" t="str">
        <v>נס ציונה</v>
      </c>
      <c r="E178" t="str">
        <v>בבדיקת תנאי סף</v>
      </c>
      <c r="F178" t="str">
        <v>לא</v>
      </c>
      <c r="G178" t="str">
        <v>לא</v>
      </c>
      <c r="H178" t="str">
        <v>לא</v>
      </c>
      <c r="I178">
        <f>=HYPERLINK("https://mavat.iplan.gov.il/SV4/1/4000257851/310")</f>
      </c>
    </row>
    <row r="179">
      <c r="A179" t="str">
        <v>421-0116178</v>
      </c>
      <c r="B179" t="str">
        <v>שה/מק/4/10/401  א.ת.צפוני מגרש 1-4/1</v>
      </c>
      <c r="C179" t="str">
        <v>מקומית</v>
      </c>
      <c r="D179" t="str">
        <v>שהם</v>
      </c>
      <c r="E179" t="str">
        <v>בבדיקת תנאי סף</v>
      </c>
      <c r="F179" t="str">
        <v>כן</v>
      </c>
      <c r="G179" t="str">
        <v>כן</v>
      </c>
      <c r="H179" t="str">
        <v>כן</v>
      </c>
      <c r="I179">
        <f>=HYPERLINK("https://mavat.iplan.gov.il/SV4/1/4000251429/310")</f>
      </c>
    </row>
    <row r="180">
      <c r="A180" t="str">
        <v>גת/ מק/ 12562/ 1</v>
      </c>
      <c r="B180" t="str">
        <v>הרחבת דרך קיימת ושינוי קווי בניין, מצפה נטופה</v>
      </c>
      <c r="C180" t="str">
        <v>מקומית</v>
      </c>
      <c r="D180" t="str">
        <v>הגליל התחתון,מצפה נטופה</v>
      </c>
      <c r="E180" t="str">
        <v>בבדיקת תנאי סף</v>
      </c>
      <c r="F180" t="str">
        <v>לא</v>
      </c>
      <c r="G180" t="str">
        <v>לא</v>
      </c>
      <c r="H180" t="str">
        <v>לא</v>
      </c>
      <c r="I180">
        <f>=HYPERLINK("https://mavat.iplan.gov.il/SV4/1/2000306029/310")</f>
      </c>
    </row>
    <row r="181">
      <c r="A181" t="str">
        <v>יז/ מק/ 7611/ 01</v>
      </c>
      <c r="B181" t="str">
        <v>החלפת שטחים בין שטח חקלאי לשטח מבני משק, בית לחם הגלילית</v>
      </c>
      <c r="C181" t="str">
        <v>מקומית</v>
      </c>
      <c r="D181" t="str">
        <v>בית לחם הגלילית,יזרעאלים,עמק יזרעאל</v>
      </c>
      <c r="E181" t="str">
        <v>בבדיקת תנאי סף</v>
      </c>
      <c r="F181" t="str">
        <v>לא</v>
      </c>
      <c r="G181" t="str">
        <v>לא</v>
      </c>
      <c r="H181" t="str">
        <v>לא</v>
      </c>
      <c r="I181">
        <f>=HYPERLINK("https://mavat.iplan.gov.il/SV4/1/2000304421/310")</f>
      </c>
    </row>
    <row r="182">
      <c r="A182" t="str">
        <v>מה/ מק/ 13872/ 1</v>
      </c>
      <c r="B182" t="str">
        <v>איחוד וחלוקה ללא הסכמת בעלים, עין זיתים</v>
      </c>
      <c r="C182" t="str">
        <v>מקומית</v>
      </c>
      <c r="D182" t="str">
        <v>מרום הגליל</v>
      </c>
      <c r="E182" t="str">
        <v>בבדיקת תנאי סף</v>
      </c>
      <c r="F182" t="str">
        <v>לא</v>
      </c>
      <c r="G182" t="str">
        <v>לא</v>
      </c>
      <c r="H182" t="str">
        <v>לא</v>
      </c>
      <c r="I182">
        <f>=HYPERLINK("https://mavat.iplan.gov.il/SV4/1/2000294701/310")</f>
      </c>
    </row>
    <row r="183">
      <c r="A183" t="str">
        <v>4/ מק/ 2236</v>
      </c>
      <c r="B183" t="str">
        <v>הרחבת רחוב הנח"ל - מגדל - אשקלון</v>
      </c>
      <c r="C183" t="str">
        <v>מקומית</v>
      </c>
      <c r="D183" t="str">
        <v>אשקלון</v>
      </c>
      <c r="E183" t="str">
        <v>בבדיקת תנאי סף</v>
      </c>
      <c r="F183" t="str">
        <v>לא</v>
      </c>
      <c r="G183" t="str">
        <v>לא</v>
      </c>
      <c r="H183" t="str">
        <v>לא</v>
      </c>
      <c r="I183">
        <f>=HYPERLINK("https://mavat.iplan.gov.il/SV4/1/6000271951/310")</f>
      </c>
    </row>
    <row r="184">
      <c r="A184" t="str">
        <v>6/ מק/ 2174</v>
      </c>
      <c r="B184" t="str">
        <v>שינוי קו בניין  בנחלה מס' 74 במושב הודיה</v>
      </c>
      <c r="C184" t="str">
        <v>מקומית</v>
      </c>
      <c r="D184" t="str">
        <v>הודיה,חוף אשקלון</v>
      </c>
      <c r="E184" t="str">
        <v>בבדיקת תנאי סף</v>
      </c>
      <c r="F184" t="str">
        <v>לא</v>
      </c>
      <c r="G184" t="str">
        <v>לא</v>
      </c>
      <c r="H184" t="str">
        <v>לא</v>
      </c>
      <c r="I184">
        <f>=HYPERLINK("https://mavat.iplan.gov.il/SV4/1/6000267011/310")</f>
      </c>
    </row>
    <row r="185">
      <c r="A185" t="str">
        <v>455-0159152</v>
      </c>
      <c r="B185" t="str">
        <v>פארק - טק</v>
      </c>
      <c r="C185" t="str">
        <v>מקומית</v>
      </c>
      <c r="D185" t="str">
        <v>בית דגן,מצפה אפק</v>
      </c>
      <c r="E185" t="str">
        <v>בבדיקת תנאי סף</v>
      </c>
      <c r="F185" t="str">
        <v>כן</v>
      </c>
      <c r="G185" t="str">
        <v>כן</v>
      </c>
      <c r="H185" t="str">
        <v>כן</v>
      </c>
      <c r="I185">
        <f>=HYPERLINK("https://mavat.iplan.gov.il/SV4/1/4000279001/310")</f>
      </c>
    </row>
    <row r="186">
      <c r="A186" t="str">
        <v>12/ מק/ 519</v>
      </c>
      <c r="B186" t="str">
        <v>תחנת תדלוק אילות - שטחי שירות</v>
      </c>
      <c r="C186" t="str">
        <v>מקומית</v>
      </c>
      <c r="D186" t="str">
        <v>אילות,חבל אילות</v>
      </c>
      <c r="E186" t="str">
        <v>בבדיקת תנאי סף</v>
      </c>
      <c r="F186" t="str">
        <v>לא</v>
      </c>
      <c r="G186" t="str">
        <v>לא</v>
      </c>
      <c r="H186" t="str">
        <v>לא</v>
      </c>
      <c r="I186">
        <f>=HYPERLINK("https://mavat.iplan.gov.il/SV4/1/6000256609/310")</f>
      </c>
    </row>
    <row r="187">
      <c r="A187" t="str">
        <v>8/ מק/ 2126</v>
      </c>
      <c r="B187" t="str">
        <v>מפעל תופאפ א.ת. באר טוביה</v>
      </c>
      <c r="C187" t="str">
        <v>מקומית</v>
      </c>
      <c r="D187" t="str">
        <v>באר טוביה</v>
      </c>
      <c r="E187" t="str">
        <v>בבדיקת תנאי סף</v>
      </c>
      <c r="F187" t="str">
        <v>לא</v>
      </c>
      <c r="G187" t="str">
        <v>לא</v>
      </c>
      <c r="H187" t="str">
        <v>לא</v>
      </c>
      <c r="I187">
        <f>=HYPERLINK("https://mavat.iplan.gov.il/SV4/1/6000264209/310")</f>
      </c>
    </row>
    <row r="188">
      <c r="A188" t="str">
        <v>רצ/ מק/ 132/ 45</v>
      </c>
      <c r="B188" t="str">
        <v>תעסוקה ברמת אליהו.</v>
      </c>
      <c r="C188" t="str">
        <v>מקומית</v>
      </c>
      <c r="D188" t="str">
        <v>ראשון לציון</v>
      </c>
      <c r="E188" t="str">
        <v>בבדיקת תנאי סף</v>
      </c>
      <c r="F188" t="str">
        <v>לא</v>
      </c>
      <c r="G188" t="str">
        <v>לא</v>
      </c>
      <c r="H188" t="str">
        <v>לא</v>
      </c>
      <c r="I188">
        <f>=HYPERLINK("https://mavat.iplan.gov.il/SV4/1/4000293985/310")</f>
      </c>
    </row>
    <row r="189">
      <c r="A189" t="str">
        <v>שד/ מק/ 4711</v>
      </c>
      <c r="B189" t="str">
        <v>כביש מספר 4711.</v>
      </c>
      <c r="C189" t="str">
        <v>מקומית</v>
      </c>
      <c r="D189" t="str">
        <v>דרום השרון</v>
      </c>
      <c r="E189" t="str">
        <v>בבדיקת תנאי סף</v>
      </c>
      <c r="F189" t="str">
        <v>לא</v>
      </c>
      <c r="G189" t="str">
        <v>לא</v>
      </c>
      <c r="H189" t="str">
        <v>לא</v>
      </c>
      <c r="I189">
        <f>=HYPERLINK("https://mavat.iplan.gov.il/SV4/1/4101535/310")</f>
      </c>
    </row>
    <row r="190">
      <c r="A190" t="str">
        <v>ק/ מק/ 3335</v>
      </c>
      <c r="B190" t="str">
        <v>תחנת דלק ג'לג'ליה</v>
      </c>
      <c r="C190" t="str">
        <v>מקומית</v>
      </c>
      <c r="D190" t="str">
        <v>ג'לג'וליה,קסם</v>
      </c>
      <c r="E190" t="str">
        <v>בבדיקת תנאי סף</v>
      </c>
      <c r="F190" t="str">
        <v>לא</v>
      </c>
      <c r="G190" t="str">
        <v>לא</v>
      </c>
      <c r="H190" t="str">
        <v>לא</v>
      </c>
      <c r="I190">
        <f>=HYPERLINK("https://mavat.iplan.gov.il/SV4/1/4000240949/310")</f>
      </c>
    </row>
    <row r="191">
      <c r="A191" t="str">
        <v>גו/ מק/ 7591/ 01</v>
      </c>
      <c r="B191" t="str">
        <v>החלפת שטחים, אזור תעשיה , בני יהודה</v>
      </c>
      <c r="C191" t="str">
        <v>מקומית</v>
      </c>
      <c r="D191" t="str">
        <v>בני יהודה,גולן</v>
      </c>
      <c r="E191" t="str">
        <v>בבדיקת תנאי סף</v>
      </c>
      <c r="F191" t="str">
        <v>לא</v>
      </c>
      <c r="G191" t="str">
        <v>לא</v>
      </c>
      <c r="H191" t="str">
        <v>לא</v>
      </c>
      <c r="I191">
        <f>=HYPERLINK("https://mavat.iplan.gov.il/SV4/1/2000283547/310")</f>
      </c>
    </row>
    <row r="192">
      <c r="A192" t="str">
        <v>26/ מק/ 2013/ 1</v>
      </c>
      <c r="B192" t="str">
        <v>מרכז טיפולי לגיל הרך בירוחם</v>
      </c>
      <c r="C192" t="str">
        <v>מקומית</v>
      </c>
      <c r="D192" t="str">
        <v>ירוחם</v>
      </c>
      <c r="E192" t="str">
        <v>בבדיקת תנאי סף</v>
      </c>
      <c r="F192" t="str">
        <v>לא</v>
      </c>
      <c r="G192" t="str">
        <v>לא</v>
      </c>
      <c r="H192" t="str">
        <v>לא</v>
      </c>
      <c r="I192">
        <f>=HYPERLINK("https://mavat.iplan.gov.il/SV4/1/6000280059/310")</f>
      </c>
    </row>
    <row r="193">
      <c r="A193" t="str">
        <v>414-0120998</v>
      </c>
      <c r="B193" t="str">
        <v>רח/ מק/ 2200/ ג</v>
      </c>
      <c r="C193" t="str">
        <v>מקומית</v>
      </c>
      <c r="D193" t="str">
        <v>רחובות</v>
      </c>
      <c r="E193" t="str">
        <v>בבדיקת תנאי סף</v>
      </c>
      <c r="F193" t="str">
        <v>כן</v>
      </c>
      <c r="G193" t="str">
        <v>כן</v>
      </c>
      <c r="H193" t="str">
        <v>כן</v>
      </c>
      <c r="I193">
        <f>=HYPERLINK("https://mavat.iplan.gov.il/SV4/1/4000254307/310")</f>
      </c>
    </row>
    <row r="194">
      <c r="A194" t="str">
        <v>חא/ מק/ 2012/ 20</v>
      </c>
      <c r="B194" t="str">
        <v>איחוד וחלוקה בהסכמה, נחלה 79, נתיב השיירה</v>
      </c>
      <c r="C194" t="str">
        <v>מקומית</v>
      </c>
      <c r="D194" t="str">
        <v>חבל אשר,מטה אשר,נתיב השירה</v>
      </c>
      <c r="E194" t="str">
        <v>בבדיקת תנאי סף</v>
      </c>
      <c r="F194" t="str">
        <v>לא</v>
      </c>
      <c r="G194" t="str">
        <v>לא</v>
      </c>
      <c r="H194" t="str">
        <v>לא</v>
      </c>
      <c r="I194">
        <f>=HYPERLINK("https://mavat.iplan.gov.il/SV4/1/2000283329/310")</f>
      </c>
    </row>
    <row r="195">
      <c r="A195" t="str">
        <v>רנ/ מק/ 10/ ח</v>
      </c>
      <c r="B195" t="str">
        <v>מרכז אזרחי ראש העין</v>
      </c>
      <c r="C195" t="str">
        <v>מקומית</v>
      </c>
      <c r="D195" t="str">
        <v>ראש העין</v>
      </c>
      <c r="E195" t="str">
        <v>בבדיקת תנאי סף</v>
      </c>
      <c r="F195" t="str">
        <v>לא</v>
      </c>
      <c r="G195" t="str">
        <v>לא</v>
      </c>
      <c r="H195" t="str">
        <v>לא</v>
      </c>
      <c r="I195">
        <f>=HYPERLINK("https://mavat.iplan.gov.il/SV4/1/4000276619/310")</f>
      </c>
    </row>
    <row r="196">
      <c r="A196" t="str">
        <v>חא/ מק/ 2012/ 1</v>
      </c>
      <c r="B196" t="str">
        <v>החלפת שטחי תיירות ומגורים , עברון</v>
      </c>
      <c r="C196" t="str">
        <v>מקומית</v>
      </c>
      <c r="D196" t="str">
        <v>חבל אשר,מטה אשר,עברון</v>
      </c>
      <c r="E196" t="str">
        <v>בבדיקת תנאי סף</v>
      </c>
      <c r="F196" t="str">
        <v>לא</v>
      </c>
      <c r="G196" t="str">
        <v>לא</v>
      </c>
      <c r="H196" t="str">
        <v>לא</v>
      </c>
      <c r="I196">
        <f>=HYPERLINK("https://mavat.iplan.gov.il/SV4/1/2000275071/310")</f>
      </c>
    </row>
    <row r="197">
      <c r="A197" t="str">
        <v>6/ מק/ 2135</v>
      </c>
      <c r="B197" t="str">
        <v>משפ' ניצן , מושב ניר ישראל</v>
      </c>
      <c r="C197" t="str">
        <v>מקומית</v>
      </c>
      <c r="D197" t="str">
        <v>חוף אשקלון,ניר ישראל</v>
      </c>
      <c r="E197" t="str">
        <v>בבדיקת תנאי סף</v>
      </c>
      <c r="F197" t="str">
        <v>לא</v>
      </c>
      <c r="G197" t="str">
        <v>לא</v>
      </c>
      <c r="H197" t="str">
        <v>לא</v>
      </c>
      <c r="I197">
        <f>=HYPERLINK("https://mavat.iplan.gov.il/SV4/1/6000254903/310")</f>
      </c>
    </row>
    <row r="198">
      <c r="A198" t="str">
        <v>8/ מק/ 2124</v>
      </c>
      <c r="B198" t="str">
        <v>שינוי קוי בניין במגרש 205, פארק ראם</v>
      </c>
      <c r="C198" t="str">
        <v>מקומית</v>
      </c>
      <c r="D198" t="str">
        <v>באר טוביה</v>
      </c>
      <c r="E198" t="str">
        <v>בבדיקת תנאי סף</v>
      </c>
      <c r="F198" t="str">
        <v>לא</v>
      </c>
      <c r="G198" t="str">
        <v>לא</v>
      </c>
      <c r="H198" t="str">
        <v>לא</v>
      </c>
      <c r="I198">
        <f>=HYPERLINK("https://mavat.iplan.gov.il/SV4/1/6000264281/310")</f>
      </c>
    </row>
    <row r="199">
      <c r="A199" t="str">
        <v>8/ מק/ 2130</v>
      </c>
      <c r="B199" t="str">
        <v>החלפת יעודים בין מסחר, תישחה וחניון ביג קיטנה</v>
      </c>
      <c r="C199" t="str">
        <v>מקומית</v>
      </c>
      <c r="D199" t="str">
        <v>באר טוביה</v>
      </c>
      <c r="E199" t="str">
        <v>בבדיקת תנאי סף</v>
      </c>
      <c r="F199" t="str">
        <v>לא</v>
      </c>
      <c r="G199" t="str">
        <v>לא</v>
      </c>
      <c r="H199" t="str">
        <v>לא</v>
      </c>
      <c r="I199">
        <f>=HYPERLINK("https://mavat.iplan.gov.il/SV4/1/6000264309/310")</f>
      </c>
    </row>
    <row r="200">
      <c r="A200" t="str">
        <v>17/ מק/ 2197</v>
      </c>
      <c r="B200" t="str">
        <v>אזור מלאכה ותעשיה מגרש 42, רהט</v>
      </c>
      <c r="C200" t="str">
        <v>מקומית</v>
      </c>
      <c r="D200" t="str">
        <v>רהט</v>
      </c>
      <c r="E200" t="str">
        <v>בבדיקת תנאי סף</v>
      </c>
      <c r="F200" t="str">
        <v>לא</v>
      </c>
      <c r="G200" t="str">
        <v>לא</v>
      </c>
      <c r="H200" t="str">
        <v>לא</v>
      </c>
      <c r="I200">
        <f>=HYPERLINK("https://mavat.iplan.gov.il/SV4/1/6000262661/310")</f>
      </c>
    </row>
    <row r="201">
      <c r="A201" t="str">
        <v>חא/ מק/ 2010/ 10</v>
      </c>
      <c r="B201" t="str">
        <v>תכנית אחוד וחלוקה קבוץ שמרת</v>
      </c>
      <c r="C201" t="str">
        <v>מקומית</v>
      </c>
      <c r="D201" t="str">
        <v>חבל אשר,מטה אשר,שמרת</v>
      </c>
      <c r="E201" t="str">
        <v>בבדיקת תנאי סף</v>
      </c>
      <c r="F201" t="str">
        <v>לא</v>
      </c>
      <c r="G201" t="str">
        <v>לא</v>
      </c>
      <c r="H201" t="str">
        <v>לא</v>
      </c>
      <c r="I201">
        <f>=HYPERLINK("https://mavat.iplan.gov.il/SV4/1/2000201007/310")</f>
      </c>
    </row>
    <row r="202">
      <c r="A202" t="str">
        <v>טה/ מק/ 107/ 9</v>
      </c>
      <c r="B202" t="str">
        <v>שינוי קווי בניין מורדות - טבריה</v>
      </c>
      <c r="C202" t="str">
        <v>מקומית</v>
      </c>
      <c r="D202" t="str">
        <v>טבריה</v>
      </c>
      <c r="E202" t="str">
        <v>בבדיקת תנאי סף</v>
      </c>
      <c r="F202" t="str">
        <v>לא</v>
      </c>
      <c r="G202" t="str">
        <v>לא</v>
      </c>
      <c r="H202" t="str">
        <v>לא</v>
      </c>
      <c r="I202">
        <f>=HYPERLINK("https://mavat.iplan.gov.il/SV4/1/2000225599/310")</f>
      </c>
    </row>
    <row r="203">
      <c r="A203" t="str">
        <v>6/ מק/ 2175</v>
      </c>
      <c r="B203" t="str">
        <v>מסחר באזור תעשיה מבקיעים</v>
      </c>
      <c r="C203" t="str">
        <v>מקומית</v>
      </c>
      <c r="D203" t="str">
        <v>חוף אשקלון,מבקיעים</v>
      </c>
      <c r="E203" t="str">
        <v>בבדיקת תנאי סף</v>
      </c>
      <c r="F203" t="str">
        <v>לא</v>
      </c>
      <c r="G203" t="str">
        <v>לא</v>
      </c>
      <c r="H203" t="str">
        <v>לא</v>
      </c>
      <c r="I203">
        <f>=HYPERLINK("https://mavat.iplan.gov.il/SV4/1/6000259643/310")</f>
      </c>
    </row>
    <row r="204">
      <c r="A204" t="str">
        <v>נת/ מק/ 650/ 68</v>
      </c>
      <c r="B204" t="str">
        <v>מגורים - רח' הזית - מש' צעאדה</v>
      </c>
      <c r="C204" t="str">
        <v>מקומית</v>
      </c>
      <c r="D204" t="str">
        <v>נתניה</v>
      </c>
      <c r="E204" t="str">
        <v>בבדיקת תנאי סף</v>
      </c>
      <c r="F204" t="str">
        <v>לא</v>
      </c>
      <c r="G204" t="str">
        <v>לא</v>
      </c>
      <c r="H204" t="str">
        <v>לא</v>
      </c>
      <c r="I204">
        <f>=HYPERLINK("https://mavat.iplan.gov.il/SV4/1/4000260153/310")</f>
      </c>
    </row>
    <row r="205">
      <c r="A205" t="str">
        <v>רצ/ מק/ 168/ 8/ 22</v>
      </c>
      <c r="B205" t="str">
        <v>הרחבת דרך יוסף ספיר</v>
      </c>
      <c r="C205" t="str">
        <v>מקומית</v>
      </c>
      <c r="D205" t="str">
        <v>ראשון לציון</v>
      </c>
      <c r="E205" t="str">
        <v>בבדיקת תנאי סף</v>
      </c>
      <c r="F205" t="str">
        <v>לא</v>
      </c>
      <c r="G205" t="str">
        <v>לא</v>
      </c>
      <c r="H205" t="str">
        <v>לא</v>
      </c>
      <c r="I205">
        <f>=HYPERLINK("https://mavat.iplan.gov.il/SV4/1/4000258005/310")</f>
      </c>
    </row>
    <row r="206">
      <c r="A206" t="str">
        <v>עמק/ מק/ 28</v>
      </c>
      <c r="B206" t="str">
        <v>"החלפת שטחים במגרש לתעשיה - עין הנצי"ב"</v>
      </c>
      <c r="C206" t="str">
        <v>מקומית</v>
      </c>
      <c r="D206" t="str">
        <v>עין הנצי"ב,עמק המעיינות</v>
      </c>
      <c r="E206" t="str">
        <v>בבדיקת תנאי סף</v>
      </c>
      <c r="F206" t="str">
        <v>לא</v>
      </c>
      <c r="G206" t="str">
        <v>לא</v>
      </c>
      <c r="H206" t="str">
        <v>לא</v>
      </c>
      <c r="I206">
        <f>=HYPERLINK("https://mavat.iplan.gov.il/SV4/1/2000230733/310")</f>
      </c>
    </row>
    <row r="207">
      <c r="A207" t="str">
        <v>20/ מק/ 3040</v>
      </c>
      <c r="B207" t="str">
        <v>מחב עם - מגרשים 101 ו- 102</v>
      </c>
      <c r="C207" t="str">
        <v>מקומית</v>
      </c>
      <c r="D207" t="str">
        <v>רמת נגב</v>
      </c>
      <c r="E207" t="str">
        <v>בבדיקת תנאי סף</v>
      </c>
      <c r="F207" t="str">
        <v>לא</v>
      </c>
      <c r="G207" t="str">
        <v>לא</v>
      </c>
      <c r="H207" t="str">
        <v>לא</v>
      </c>
      <c r="I207">
        <f>=HYPERLINK("https://mavat.iplan.gov.il/SV4/1/6000252505/310")</f>
      </c>
    </row>
    <row r="208">
      <c r="A208" t="str">
        <v>9/ מק/ 2041</v>
      </c>
      <c r="B208" t="str">
        <v>מבנה תעשיה בקרית גת</v>
      </c>
      <c r="C208" t="str">
        <v>מקומית</v>
      </c>
      <c r="D208" t="str">
        <v>קרית גת</v>
      </c>
      <c r="E208" t="str">
        <v>בבדיקת תנאי סף</v>
      </c>
      <c r="F208" t="str">
        <v>לא</v>
      </c>
      <c r="G208" t="str">
        <v>לא</v>
      </c>
      <c r="H208" t="str">
        <v>לא</v>
      </c>
      <c r="I208">
        <f>=HYPERLINK("https://mavat.iplan.gov.il/SV4/1/6000250031/310")</f>
      </c>
    </row>
    <row r="209">
      <c r="A209" t="str">
        <v>28/ מק/ 106/ 11</v>
      </c>
      <c r="B209" t="str">
        <v>מגרשים 1055, 1049-1053 - אל סייד</v>
      </c>
      <c r="C209" t="str">
        <v>מקומית</v>
      </c>
      <c r="D209" t="str">
        <v>אבו בסמה,אל סייד,אל קסום</v>
      </c>
      <c r="E209" t="str">
        <v>בבדיקת תנאי סף</v>
      </c>
      <c r="F209" t="str">
        <v>לא</v>
      </c>
      <c r="G209" t="str">
        <v>לא</v>
      </c>
      <c r="H209" t="str">
        <v>לא</v>
      </c>
      <c r="I209">
        <f>=HYPERLINK("https://mavat.iplan.gov.il/SV4/1/6000248661/310")</f>
      </c>
    </row>
    <row r="210">
      <c r="A210" t="str">
        <v>הר/ מק/ 548/ 10</v>
      </c>
      <c r="B210" t="str">
        <v>העברת 200 מ"ר שטחים עיקריים מחלקה 365 לשימוש בחלקה 357.</v>
      </c>
      <c r="C210" t="str">
        <v>מקומית</v>
      </c>
      <c r="D210" t="str">
        <v>הוד השרון</v>
      </c>
      <c r="E210" t="str">
        <v>בבדיקת תנאי סף</v>
      </c>
      <c r="F210" t="str">
        <v>לא</v>
      </c>
      <c r="G210" t="str">
        <v>לא</v>
      </c>
      <c r="H210" t="str">
        <v>לא</v>
      </c>
      <c r="I210">
        <f>=HYPERLINK("https://mavat.iplan.gov.il/SV4/1/4000244909/310")</f>
      </c>
    </row>
    <row r="211">
      <c r="A211" t="str">
        <v>ש/ מק/ 547/ ג</v>
      </c>
      <c r="B211" t="str">
        <v>נווה הדרים בצפון כרכור</v>
      </c>
      <c r="C211" t="str">
        <v>מקומית</v>
      </c>
      <c r="D211" t="str">
        <v>פרדס חנה-כרכור</v>
      </c>
      <c r="E211" t="str">
        <v>בבדיקת תנאי סף</v>
      </c>
      <c r="F211" t="str">
        <v>לא</v>
      </c>
      <c r="G211" t="str">
        <v>לא</v>
      </c>
      <c r="H211" t="str">
        <v>לא</v>
      </c>
      <c r="I211">
        <f>=HYPERLINK("https://mavat.iplan.gov.il/SV4/1/3000243657/310")</f>
      </c>
    </row>
    <row r="212">
      <c r="A212" t="str">
        <v>30/ מק/ 3033</v>
      </c>
      <c r="B212" t="str">
        <v>איחוד וחלוקת מגרשים במרכז ספיר</v>
      </c>
      <c r="C212" t="str">
        <v>מקומית</v>
      </c>
      <c r="D212" t="str">
        <v>הערבה התיכונה,ספיר,ערבה תיכונה</v>
      </c>
      <c r="E212" t="str">
        <v>בבדיקת תנאי סף</v>
      </c>
      <c r="F212" t="str">
        <v>לא</v>
      </c>
      <c r="G212" t="str">
        <v>לא</v>
      </c>
      <c r="H212" t="str">
        <v>לא</v>
      </c>
      <c r="I212">
        <f>=HYPERLINK("https://mavat.iplan.gov.il/SV4/1/6000242433/310")</f>
      </c>
    </row>
    <row r="213">
      <c r="A213" t="str">
        <v>יז/ מק/ 5548/ 02</v>
      </c>
      <c r="B213" t="str">
        <v>הרחבת רפת משמר העמק</v>
      </c>
      <c r="C213" t="str">
        <v>מקומית</v>
      </c>
      <c r="D213" t="str">
        <v>יזרעאלים,מגידו,משמר העמק</v>
      </c>
      <c r="E213" t="str">
        <v>בבדיקת תנאי סף</v>
      </c>
      <c r="F213" t="str">
        <v>לא</v>
      </c>
      <c r="G213" t="str">
        <v>לא</v>
      </c>
      <c r="H213" t="str">
        <v>לא</v>
      </c>
      <c r="I213">
        <f>=HYPERLINK("https://mavat.iplan.gov.il/SV4/1/2000246247/310")</f>
      </c>
    </row>
    <row r="214">
      <c r="A214" t="str">
        <v>גמ/ מק/ 5516/ 407</v>
      </c>
      <c r="B214" t="str">
        <v>עילבון - שכ' פאוזה</v>
      </c>
      <c r="C214" t="str">
        <v>מקומית</v>
      </c>
      <c r="D214" t="str">
        <v>הגליל המזרחי,עילבון</v>
      </c>
      <c r="E214" t="str">
        <v>בבדיקת תנאי סף</v>
      </c>
      <c r="F214" t="str">
        <v>לא</v>
      </c>
      <c r="G214" t="str">
        <v>לא</v>
      </c>
      <c r="H214" t="str">
        <v>לא</v>
      </c>
      <c r="I214">
        <f>=HYPERLINK("https://mavat.iplan.gov.il/SV4/1/2000233039/310")</f>
      </c>
    </row>
    <row r="215">
      <c r="A215" t="str">
        <v>20/ מק/ 3039</v>
      </c>
      <c r="B215" t="str">
        <v>שינוי קו בניה צד צפוני באזור התעשיה ושפ.פ. קיבוץ שדה בוקר</v>
      </c>
      <c r="C215" t="str">
        <v>מקומית</v>
      </c>
      <c r="D215" t="str">
        <v>רמת נגב,שדה בוקר</v>
      </c>
      <c r="E215" t="str">
        <v>בבדיקת תנאי סף</v>
      </c>
      <c r="F215" t="str">
        <v>לא</v>
      </c>
      <c r="G215" t="str">
        <v>לא</v>
      </c>
      <c r="H215" t="str">
        <v>לא</v>
      </c>
      <c r="I215">
        <f>=HYPERLINK("https://mavat.iplan.gov.il/SV4/1/6000237233/310")</f>
      </c>
    </row>
    <row r="216">
      <c r="A216" t="str">
        <v>7/ מק/ 2553</v>
      </c>
      <c r="B216" t="str">
        <v>שכונה א' מגרש 120 שגב שלום</v>
      </c>
      <c r="C216" t="str">
        <v>מקומית</v>
      </c>
      <c r="D216" t="str">
        <v>נגב מזרחי,שגב שלום</v>
      </c>
      <c r="E216" t="str">
        <v>בבדיקת תנאי סף</v>
      </c>
      <c r="F216" t="str">
        <v>לא</v>
      </c>
      <c r="G216" t="str">
        <v>לא</v>
      </c>
      <c r="H216" t="str">
        <v>לא</v>
      </c>
      <c r="I216">
        <f>=HYPERLINK("https://mavat.iplan.gov.il/SV4/1/6000235407/310")</f>
      </c>
    </row>
    <row r="217">
      <c r="A217" t="str">
        <v>5/ מע/ מק/ 7468/ 22</v>
      </c>
      <c r="B217" t="str">
        <v>איחוד וחלוקה ללא הסכמת הבעלים - אכסאל</v>
      </c>
      <c r="C217" t="str">
        <v>מקומית</v>
      </c>
      <c r="D217" t="str">
        <v>אכסאל,מבוא העמקים</v>
      </c>
      <c r="E217" t="str">
        <v>בבדיקת תנאי סף</v>
      </c>
      <c r="F217" t="str">
        <v>לא</v>
      </c>
      <c r="G217" t="str">
        <v>לא</v>
      </c>
      <c r="H217" t="str">
        <v>לא</v>
      </c>
      <c r="I217">
        <f>=HYPERLINK("https://mavat.iplan.gov.il/SV4/1/2000238069/310")</f>
      </c>
    </row>
    <row r="218">
      <c r="A218" t="str">
        <v>עמק/ מק/ 25</v>
      </c>
      <c r="B218" t="str">
        <v>שדי תרומות 19 - אירוח כפרי</v>
      </c>
      <c r="C218" t="str">
        <v>מקומית</v>
      </c>
      <c r="D218" t="str">
        <v>עמק המעיינות,שדי תרומות</v>
      </c>
      <c r="E218" t="str">
        <v>בבדיקת תנאי סף</v>
      </c>
      <c r="F218" t="str">
        <v>לא</v>
      </c>
      <c r="G218" t="str">
        <v>לא</v>
      </c>
      <c r="H218" t="str">
        <v>לא</v>
      </c>
      <c r="I218">
        <f>=HYPERLINK("https://mavat.iplan.gov.il/SV4/1/2000236941/310")</f>
      </c>
    </row>
    <row r="219">
      <c r="A219" t="str">
        <v>חמ/ מק/ 153/ 24</v>
      </c>
      <c r="B219" t="str">
        <v>שינוי לתכנית מתאר/ גז/ במ/ 3/ 1</v>
      </c>
      <c r="C219" t="str">
        <v>מקומית</v>
      </c>
      <c r="D219" t="str">
        <v>חבל מודיעין,לפיד</v>
      </c>
      <c r="E219" t="str">
        <v>בבדיקת תנאי סף</v>
      </c>
      <c r="F219" t="str">
        <v>לא</v>
      </c>
      <c r="G219" t="str">
        <v>לא</v>
      </c>
      <c r="H219" t="str">
        <v>לא</v>
      </c>
      <c r="I219">
        <f>=HYPERLINK("https://mavat.iplan.gov.il/SV4/1/4000234415/310")</f>
      </c>
    </row>
    <row r="220">
      <c r="A220" t="str">
        <v>חמ/ מק/ 49/ 25</v>
      </c>
      <c r="B220" t="str">
        <v>צומת נופך רינתיה מזור.</v>
      </c>
      <c r="C220" t="str">
        <v>מקומית</v>
      </c>
      <c r="D220" t="str">
        <v>חבל מודיעין</v>
      </c>
      <c r="E220" t="str">
        <v>בבדיקת תנאי סף</v>
      </c>
      <c r="F220" t="str">
        <v>לא</v>
      </c>
      <c r="G220" t="str">
        <v>לא</v>
      </c>
      <c r="H220" t="str">
        <v>לא</v>
      </c>
      <c r="I220">
        <f>=HYPERLINK("https://mavat.iplan.gov.il/SV4/1/4000230133/310")</f>
      </c>
    </row>
    <row r="221">
      <c r="A221" t="str">
        <v>מק/ 12990</v>
      </c>
      <c r="B221" t="str">
        <v>הרחבת יח"ד  ברח' אלכסנדר רובוסיץ 304 , ארמון הנציב</v>
      </c>
      <c r="C221" t="str">
        <v>מקומית</v>
      </c>
      <c r="D221" t="str">
        <v>ירושלים</v>
      </c>
      <c r="E221" t="str">
        <v>בבדיקת תנאי סף</v>
      </c>
      <c r="F221" t="str">
        <v>לא</v>
      </c>
      <c r="G221" t="str">
        <v>כן</v>
      </c>
      <c r="H221" t="str">
        <v>לא</v>
      </c>
      <c r="I221">
        <f>=HYPERLINK("https://mavat.iplan.gov.il/SV4/1/1000229235/310")</f>
      </c>
    </row>
    <row r="222">
      <c r="A222" t="str">
        <v>7/ מק/ 2124</v>
      </c>
      <c r="B222" t="str">
        <v>מושב בטחה - מגרשים אחוריים</v>
      </c>
      <c r="C222" t="str">
        <v>מקומית</v>
      </c>
      <c r="D222" t="str">
        <v>בטחה,מרחבים,נגב מערבי</v>
      </c>
      <c r="E222" t="str">
        <v>בבדיקת תנאי סף</v>
      </c>
      <c r="F222" t="str">
        <v>כן</v>
      </c>
      <c r="G222" t="str">
        <v>כן</v>
      </c>
      <c r="H222" t="str">
        <v>לא</v>
      </c>
      <c r="I222">
        <f>=HYPERLINK("https://mavat.iplan.gov.il/SV4/1/6072175/310")</f>
      </c>
    </row>
    <row r="223">
      <c r="A223" t="str">
        <v>7/ מק/ 2142</v>
      </c>
      <c r="B223" t="str">
        <v>מגרש A 700 חלוצית 4</v>
      </c>
      <c r="C223" t="str">
        <v>מקומית</v>
      </c>
      <c r="D223" t="str">
        <v>אשכול,נגב מערבי</v>
      </c>
      <c r="E223" t="str">
        <v>בבדיקת תנאי סף</v>
      </c>
      <c r="F223" t="str">
        <v>לא</v>
      </c>
      <c r="G223" t="str">
        <v>לא</v>
      </c>
      <c r="H223" t="str">
        <v>לא</v>
      </c>
      <c r="I223">
        <f>=HYPERLINK("https://mavat.iplan.gov.il/SV4/1/6000227721/310")</f>
      </c>
    </row>
    <row r="224">
      <c r="A224" t="str">
        <v>זב/ מק/ 243</v>
      </c>
      <c r="B224" t="str">
        <v>בית ספר באיבטין</v>
      </c>
      <c r="C224" t="str">
        <v>מקומית</v>
      </c>
      <c r="D224" t="str">
        <v>אבטין,זבולון</v>
      </c>
      <c r="E224" t="str">
        <v>בבדיקת תנאי סף</v>
      </c>
      <c r="F224" t="str">
        <v>לא</v>
      </c>
      <c r="G224" t="str">
        <v>לא</v>
      </c>
      <c r="H224" t="str">
        <v>לא</v>
      </c>
      <c r="I224">
        <f>=HYPERLINK("https://mavat.iplan.gov.il/SV4/1/3000221359/310")</f>
      </c>
    </row>
    <row r="225">
      <c r="A225" t="str">
        <v>ענ/ מק/ 968/ א</v>
      </c>
      <c r="B225" t="str">
        <v>חלוקה חדשה לחלקה 17 בגוש 12156 כפר עארה</v>
      </c>
      <c r="C225" t="str">
        <v>מקומית</v>
      </c>
      <c r="D225" t="str">
        <v>עירון,ערערה</v>
      </c>
      <c r="E225" t="str">
        <v>בבדיקת תנאי סף</v>
      </c>
      <c r="F225" t="str">
        <v>לא</v>
      </c>
      <c r="G225" t="str">
        <v>לא</v>
      </c>
      <c r="H225" t="str">
        <v>לא</v>
      </c>
      <c r="I225">
        <f>=HYPERLINK("https://mavat.iplan.gov.il/SV4/1/3000210031/310")</f>
      </c>
    </row>
    <row r="226">
      <c r="A226" t="str">
        <v>יז/ מק/ 17049/ 03</v>
      </c>
      <c r="B226" t="str">
        <v>הסדרת בינוי בנחלה משפחת בר בבית שערים</v>
      </c>
      <c r="C226" t="str">
        <v>מקומית</v>
      </c>
      <c r="D226" t="str">
        <v>בית שערים,יזרעאלים,עמק יזרעאל</v>
      </c>
      <c r="E226" t="str">
        <v>בבדיקת תנאי סף</v>
      </c>
      <c r="F226" t="str">
        <v>לא</v>
      </c>
      <c r="G226" t="str">
        <v>לא</v>
      </c>
      <c r="H226" t="str">
        <v>לא</v>
      </c>
      <c r="I226">
        <f>=HYPERLINK("https://mavat.iplan.gov.il/SV4/1/2000218991/310")</f>
      </c>
    </row>
    <row r="227">
      <c r="A227" t="str">
        <v>יז/ מק/ 17115/ 01</v>
      </c>
      <c r="B227" t="str">
        <v>שינוי בהוראות בינוי ל-30 מגרשים-קיבוץ גניגר</v>
      </c>
      <c r="C227" t="str">
        <v>מקומית</v>
      </c>
      <c r="D227" t="str">
        <v>גניגר,יזרעאלים,עמק יזרעאל</v>
      </c>
      <c r="E227" t="str">
        <v>בבדיקת תנאי סף</v>
      </c>
      <c r="F227" t="str">
        <v>לא</v>
      </c>
      <c r="G227" t="str">
        <v>לא</v>
      </c>
      <c r="H227" t="str">
        <v>לא</v>
      </c>
      <c r="I227">
        <f>=HYPERLINK("https://mavat.iplan.gov.il/SV4/1/2000220165/310")</f>
      </c>
    </row>
    <row r="228">
      <c r="A228" t="str">
        <v>יז/ מק/ 22/ 01</v>
      </c>
      <c r="B228" t="str">
        <v>בית ספר תיכון אזורי מגידו</v>
      </c>
      <c r="C228" t="str">
        <v>מקומית</v>
      </c>
      <c r="D228" t="str">
        <v>יזרעאלים,מגידו,עין השופט</v>
      </c>
      <c r="E228" t="str">
        <v>בבדיקת תנאי סף</v>
      </c>
      <c r="F228" t="str">
        <v>לא</v>
      </c>
      <c r="G228" t="str">
        <v>לא</v>
      </c>
      <c r="H228" t="str">
        <v>לא</v>
      </c>
      <c r="I228">
        <f>=HYPERLINK("https://mavat.iplan.gov.il/SV4/1/2000218703/310")</f>
      </c>
    </row>
    <row r="229">
      <c r="A229" t="str">
        <v>מק/ 9770/ ב</v>
      </c>
      <c r="B229" t="str">
        <v>הרחבת יח"ד ברח' פתח תקווה 19-13 , רוממה</v>
      </c>
      <c r="C229" t="str">
        <v>מקומית</v>
      </c>
      <c r="D229" t="str">
        <v>ירושלים</v>
      </c>
      <c r="E229" t="str">
        <v>בבדיקת תנאי סף</v>
      </c>
      <c r="F229" t="str">
        <v>לא</v>
      </c>
      <c r="G229" t="str">
        <v>לא</v>
      </c>
      <c r="H229" t="str">
        <v>לא</v>
      </c>
      <c r="I229">
        <f>=HYPERLINK("https://mavat.iplan.gov.il/SV4/1/1000220707/310")</f>
      </c>
    </row>
    <row r="230">
      <c r="A230" t="str">
        <v>7/ מק/ 2562</v>
      </c>
      <c r="B230" t="str">
        <v>הרחבת דרך - תחנת היסעים וחניה לבית ספר</v>
      </c>
      <c r="C230" t="str">
        <v>מקומית</v>
      </c>
      <c r="D230" t="str">
        <v>נגב מזרחי,שגב שלום</v>
      </c>
      <c r="E230" t="str">
        <v>בבדיקת תנאי סף</v>
      </c>
      <c r="F230" t="str">
        <v>לא</v>
      </c>
      <c r="G230" t="str">
        <v>לא</v>
      </c>
      <c r="H230" t="str">
        <v>לא</v>
      </c>
      <c r="I230">
        <f>=HYPERLINK("https://mavat.iplan.gov.il/SV4/1/6000220299/310")</f>
      </c>
    </row>
    <row r="231">
      <c r="A231" t="str">
        <v>צש/ מק/ 6/ 22/ 48</v>
      </c>
      <c r="B231" t="str">
        <v>צור משה - שינוי קו בנין קדמי</v>
      </c>
      <c r="C231" t="str">
        <v>מקומית</v>
      </c>
      <c r="D231" t="str">
        <v>לב השרון,צור משה</v>
      </c>
      <c r="E231" t="str">
        <v>בבדיקת תנאי סף</v>
      </c>
      <c r="F231" t="str">
        <v>לא</v>
      </c>
      <c r="G231" t="str">
        <v>לא</v>
      </c>
      <c r="H231" t="str">
        <v>לא</v>
      </c>
      <c r="I231">
        <f>=HYPERLINK("https://mavat.iplan.gov.il/SV4/1/4000218691/310")</f>
      </c>
    </row>
    <row r="232">
      <c r="A232" t="str">
        <v>רנ/ מק/ 265/ א</v>
      </c>
      <c r="B232" t="str">
        <v>ראש העין, מתחם A</v>
      </c>
      <c r="C232" t="str">
        <v>מקומית</v>
      </c>
      <c r="D232" t="str">
        <v>ראש העין</v>
      </c>
      <c r="E232" t="str">
        <v>בבדיקת תנאי סף</v>
      </c>
      <c r="F232" t="str">
        <v>לא</v>
      </c>
      <c r="G232" t="str">
        <v>לא</v>
      </c>
      <c r="H232" t="str">
        <v>לא</v>
      </c>
      <c r="I232">
        <f>=HYPERLINK("https://mavat.iplan.gov.il/SV4/1/4000218849/310")</f>
      </c>
    </row>
    <row r="233">
      <c r="A233" t="str">
        <v>גו/ מק/ 11574/ 02</v>
      </c>
      <c r="B233" t="str">
        <v>איחוד וחלוקה בהסכמה, מדרשת הגולן,  חיספין</v>
      </c>
      <c r="C233" t="str">
        <v>מקומית</v>
      </c>
      <c r="D233" t="str">
        <v>גולן,חספין</v>
      </c>
      <c r="E233" t="str">
        <v>בבדיקת תנאי סף</v>
      </c>
      <c r="F233" t="str">
        <v>לא</v>
      </c>
      <c r="G233" t="str">
        <v>לא</v>
      </c>
      <c r="H233" t="str">
        <v>לא</v>
      </c>
      <c r="I233">
        <f>=HYPERLINK("https://mavat.iplan.gov.il/SV4/1/2000212171/310")</f>
      </c>
    </row>
    <row r="234">
      <c r="A234" t="str">
        <v>על/ מק/ 525/ 48</v>
      </c>
      <c r="B234" t="str">
        <v>כפר חב"ד חילופים בשטחים לצרכי ציבור</v>
      </c>
      <c r="C234" t="str">
        <v>מקומית</v>
      </c>
      <c r="D234" t="str">
        <v>כפר חב"ד,שדות דן</v>
      </c>
      <c r="E234" t="str">
        <v>בבדיקת תנאי סף</v>
      </c>
      <c r="F234" t="str">
        <v>לא</v>
      </c>
      <c r="G234" t="str">
        <v>לא</v>
      </c>
      <c r="H234" t="str">
        <v>לא</v>
      </c>
      <c r="I234">
        <f>=HYPERLINK("https://mavat.iplan.gov.il/SV4/1/4000216989/310")</f>
      </c>
    </row>
    <row r="235">
      <c r="A235" t="str">
        <v>רצ/ מק/ 174/ 1/ 1</v>
      </c>
      <c r="B235" t="str">
        <v>בית ספר "רעות" - הצרחת שטחים.</v>
      </c>
      <c r="C235" t="str">
        <v>מקומית</v>
      </c>
      <c r="D235" t="str">
        <v>ראשון לציון</v>
      </c>
      <c r="E235" t="str">
        <v>בבדיקת תנאי סף</v>
      </c>
      <c r="F235" t="str">
        <v>לא</v>
      </c>
      <c r="G235" t="str">
        <v>לא</v>
      </c>
      <c r="H235" t="str">
        <v>לא</v>
      </c>
      <c r="I235">
        <f>=HYPERLINK("https://mavat.iplan.gov.il/SV4/1/4000217099/310")</f>
      </c>
    </row>
    <row r="236">
      <c r="A236" t="str">
        <v>עפ/ מק/ 11188/ 10</v>
      </c>
      <c r="B236" t="str">
        <v>שינוי הוראות בינוי, רובע ישראל, עפולה</v>
      </c>
      <c r="C236" t="str">
        <v>מקומית</v>
      </c>
      <c r="D236" t="str">
        <v>עפולה</v>
      </c>
      <c r="E236" t="str">
        <v>בבדיקת תנאי סף</v>
      </c>
      <c r="F236" t="str">
        <v>לא</v>
      </c>
      <c r="G236" t="str">
        <v>לא</v>
      </c>
      <c r="H236" t="str">
        <v>לא</v>
      </c>
      <c r="I236">
        <f>=HYPERLINK("https://mavat.iplan.gov.il/SV4/1/2000217607/310")</f>
      </c>
    </row>
    <row r="237">
      <c r="A237" t="str">
        <v>2/ מק/ 474</v>
      </c>
      <c r="B237" t="str">
        <v>שחמון רובע 6 - ביתן טרנסםורמציה 1001</v>
      </c>
      <c r="C237" t="str">
        <v>מקומית</v>
      </c>
      <c r="D237" t="str">
        <v>אילת</v>
      </c>
      <c r="E237" t="str">
        <v>בבדיקת תנאי סף</v>
      </c>
      <c r="F237" t="str">
        <v>לא</v>
      </c>
      <c r="G237" t="str">
        <v>לא</v>
      </c>
      <c r="H237" t="str">
        <v>לא</v>
      </c>
      <c r="I237">
        <f>=HYPERLINK("https://mavat.iplan.gov.il/SV4/1/6000215077/310")</f>
      </c>
    </row>
    <row r="238">
      <c r="A238" t="str">
        <v>מש/ מק/ 7/ 1/ 309</v>
      </c>
      <c r="B238" t="str">
        <v>העברת זכויות בניה מקומה שלישית לקומת קרקע.</v>
      </c>
      <c r="C238" t="str">
        <v>מקומית</v>
      </c>
      <c r="D238" t="str">
        <v>מזרח השרון,קלנסווה</v>
      </c>
      <c r="E238" t="str">
        <v>בבדיקת תנאי סף</v>
      </c>
      <c r="F238" t="str">
        <v>לא</v>
      </c>
      <c r="G238" t="str">
        <v>לא</v>
      </c>
      <c r="H238" t="str">
        <v>לא</v>
      </c>
      <c r="I238">
        <f>=HYPERLINK("https://mavat.iplan.gov.il/SV4/1/4000214749/310")</f>
      </c>
    </row>
    <row r="239">
      <c r="A239" t="str">
        <v>8/ מק/ 2115</v>
      </c>
      <c r="B239" t="str">
        <v>מושב ינון חלקות 11, 13</v>
      </c>
      <c r="C239" t="str">
        <v>מקומית</v>
      </c>
      <c r="D239" t="str">
        <v>באר טוביה,ינון</v>
      </c>
      <c r="E239" t="str">
        <v>בבדיקת תנאי סף</v>
      </c>
      <c r="F239" t="str">
        <v>כן</v>
      </c>
      <c r="G239" t="str">
        <v>כן</v>
      </c>
      <c r="H239" t="str">
        <v>לא</v>
      </c>
      <c r="I239">
        <f>=HYPERLINK("https://mavat.iplan.gov.il/SV4/1/6072325/310")</f>
      </c>
    </row>
    <row r="240">
      <c r="A240" t="str">
        <v>בר/ מק/ 232/ 4</v>
      </c>
      <c r="B240" t="str">
        <v>שינוי קו בנין לדרך מס' 40 בחלקה 4 גוש 3799.</v>
      </c>
      <c r="C240" t="str">
        <v>מקומית</v>
      </c>
      <c r="D240" t="str">
        <v>ברנר,גבעת ברנר,שורקות</v>
      </c>
      <c r="E240" t="str">
        <v>בבדיקת תנאי סף</v>
      </c>
      <c r="F240" t="str">
        <v>לא</v>
      </c>
      <c r="G240" t="str">
        <v>כן</v>
      </c>
      <c r="H240" t="str">
        <v>לא</v>
      </c>
      <c r="I240">
        <f>=HYPERLINK("https://mavat.iplan.gov.il/SV4/1/4000213215/310")</f>
      </c>
    </row>
    <row r="241">
      <c r="A241" t="str">
        <v>חש/ מק/ 2/ 47</v>
      </c>
      <c r="B241" t="str">
        <v>בריכת שחיה פרטית במגרש 118</v>
      </c>
      <c r="C241" t="str">
        <v>מקומית</v>
      </c>
      <c r="D241" t="str">
        <v>בני ציון,חוף השרון</v>
      </c>
      <c r="E241" t="str">
        <v>בבדיקת תנאי סף</v>
      </c>
      <c r="F241" t="str">
        <v>לא</v>
      </c>
      <c r="G241" t="str">
        <v>לא</v>
      </c>
      <c r="H241" t="str">
        <v>לא</v>
      </c>
      <c r="I241">
        <f>=HYPERLINK("https://mavat.iplan.gov.il/SV4/1/4000212489/310")</f>
      </c>
    </row>
    <row r="242">
      <c r="A242" t="str">
        <v>יז/ מק/ 54/ 11</v>
      </c>
      <c r="B242" t="str">
        <v>הסדרת בינוי בנחלה , תל עדשים</v>
      </c>
      <c r="C242" t="str">
        <v>מקומית</v>
      </c>
      <c r="D242" t="str">
        <v>יזרעאלים,עמק יזרעאל,תל עדשים</v>
      </c>
      <c r="E242" t="str">
        <v>בבדיקת תנאי סף</v>
      </c>
      <c r="F242" t="str">
        <v>לא</v>
      </c>
      <c r="G242" t="str">
        <v>לא</v>
      </c>
      <c r="H242" t="str">
        <v>לא</v>
      </c>
      <c r="I242">
        <f>=HYPERLINK("https://mavat.iplan.gov.il/SV4/1/2000195911/310")</f>
      </c>
    </row>
    <row r="243">
      <c r="A243" t="str">
        <v>רצ/ מק/ 1/ 2/ 2/ ב/ 15</v>
      </c>
      <c r="B243" t="str">
        <v>מבנה משרדי העירייה - רמת אליהו</v>
      </c>
      <c r="C243" t="str">
        <v>מקומית</v>
      </c>
      <c r="D243" t="str">
        <v>ראשון לציון</v>
      </c>
      <c r="E243" t="str">
        <v>בבדיקת תנאי סף</v>
      </c>
      <c r="F243" t="str">
        <v>לא</v>
      </c>
      <c r="G243" t="str">
        <v>לא</v>
      </c>
      <c r="H243" t="str">
        <v>לא</v>
      </c>
      <c r="I243">
        <f>=HYPERLINK("https://mavat.iplan.gov.il/SV4/1/4000207715/310")</f>
      </c>
    </row>
    <row r="244">
      <c r="A244" t="str">
        <v>כר/ מק/ 12813/ 5</v>
      </c>
      <c r="B244" t="str">
        <v>שינוי בינוי - 13 - D, כרמיאל</v>
      </c>
      <c r="C244" t="str">
        <v>מקומית</v>
      </c>
      <c r="D244" t="str">
        <v>כרמיאל</v>
      </c>
      <c r="E244" t="str">
        <v>בבדיקת תנאי סף</v>
      </c>
      <c r="F244" t="str">
        <v>לא</v>
      </c>
      <c r="G244" t="str">
        <v>לא</v>
      </c>
      <c r="H244" t="str">
        <v>לא</v>
      </c>
      <c r="I244">
        <f>=HYPERLINK("https://mavat.iplan.gov.il/SV4/1/2000211269/310")</f>
      </c>
    </row>
    <row r="245">
      <c r="A245" t="str">
        <v>18/ מק/ 2059</v>
      </c>
      <c r="B245" t="str">
        <v>מקוה ובית כנסת שכונת חב''ד קרית מלאכי</v>
      </c>
      <c r="C245" t="str">
        <v>מקומית</v>
      </c>
      <c r="D245" t="str">
        <v>קרית מלאכי</v>
      </c>
      <c r="E245" t="str">
        <v>בבדיקת תנאי סף</v>
      </c>
      <c r="F245" t="str">
        <v>כן</v>
      </c>
      <c r="G245" t="str">
        <v>כן</v>
      </c>
      <c r="H245" t="str">
        <v>לא</v>
      </c>
      <c r="I245">
        <f>=HYPERLINK("https://mavat.iplan.gov.il/SV4/1/6072399/310")</f>
      </c>
    </row>
    <row r="246">
      <c r="A246" t="str">
        <v>ג/ גל/ מק/ 150</v>
      </c>
      <c r="B246" t="str">
        <v>שינוי תכנית בינוי , שער הגלבוע</v>
      </c>
      <c r="C246" t="str">
        <v>מקומית</v>
      </c>
      <c r="D246" t="str">
        <v>הגילבוע,הגלבוע</v>
      </c>
      <c r="E246" t="str">
        <v>בבדיקת תנאי סף</v>
      </c>
      <c r="F246" t="str">
        <v>לא</v>
      </c>
      <c r="G246" t="str">
        <v>לא</v>
      </c>
      <c r="H246" t="str">
        <v>לא</v>
      </c>
      <c r="I246">
        <f>=HYPERLINK("https://mavat.iplan.gov.il/SV4/1/2127348/310")</f>
      </c>
    </row>
    <row r="247">
      <c r="A247" t="str">
        <v>מד/ מק/ 177/ 123</v>
      </c>
      <c r="B247" t="str">
        <v>איחוד וחלוקה מרכז מסחרי רעות</v>
      </c>
      <c r="C247" t="str">
        <v>מקומית</v>
      </c>
      <c r="D247" t="str">
        <v>מודיעין-מכבים-רעות</v>
      </c>
      <c r="E247" t="str">
        <v>בבדיקת תנאי סף</v>
      </c>
      <c r="F247" t="str">
        <v>לא</v>
      </c>
      <c r="G247" t="str">
        <v>לא</v>
      </c>
      <c r="H247" t="str">
        <v>לא</v>
      </c>
      <c r="I247">
        <f>=HYPERLINK("https://mavat.iplan.gov.il/SV4/1/4000207033/310")</f>
      </c>
    </row>
    <row r="248">
      <c r="A248" t="str">
        <v>צש/ מק/ 7/ 21/ 20</v>
      </c>
      <c r="B248" t="str">
        <v>איחוד וחלוקה מחדש במושב עזריאל.</v>
      </c>
      <c r="C248" t="str">
        <v>מקומית</v>
      </c>
      <c r="D248" t="str">
        <v>לב השרון,עזריאל</v>
      </c>
      <c r="E248" t="str">
        <v>בבדיקת תנאי סף</v>
      </c>
      <c r="F248" t="str">
        <v>לא</v>
      </c>
      <c r="G248" t="str">
        <v>לא</v>
      </c>
      <c r="H248" t="str">
        <v>לא</v>
      </c>
      <c r="I248">
        <f>=HYPERLINK("https://mavat.iplan.gov.il/SV4/1/4099882/310")</f>
      </c>
    </row>
    <row r="249">
      <c r="A249" t="str">
        <v>עפ/ מק/ 302/ 22</v>
      </c>
      <c r="B249" t="str">
        <v>שינוי הוראות בניה במגורים ג' , עפולה</v>
      </c>
      <c r="C249" t="str">
        <v>מקומית</v>
      </c>
      <c r="D249" t="str">
        <v>עפולה</v>
      </c>
      <c r="E249" t="str">
        <v>בבדיקת תנאי סף</v>
      </c>
      <c r="F249" t="str">
        <v>לא</v>
      </c>
      <c r="G249" t="str">
        <v>לא</v>
      </c>
      <c r="H249" t="str">
        <v>לא</v>
      </c>
      <c r="I249">
        <f>=HYPERLINK("https://mavat.iplan.gov.il/SV4/1/2127121/310")</f>
      </c>
    </row>
    <row r="250">
      <c r="A250" t="str">
        <v>7/ מק/ 2543</v>
      </c>
      <c r="B250" t="str">
        <v>שינוי קו בניין בשכונה 32 כסיפה, במגרש 919</v>
      </c>
      <c r="C250" t="str">
        <v>מקומית</v>
      </c>
      <c r="D250" t="str">
        <v>כסייפה,נגב מזרחי</v>
      </c>
      <c r="E250" t="str">
        <v>בבדיקת תנאי סף</v>
      </c>
      <c r="F250" t="str">
        <v>כן</v>
      </c>
      <c r="G250" t="str">
        <v>כן</v>
      </c>
      <c r="H250" t="str">
        <v>לא</v>
      </c>
      <c r="I250">
        <f>=HYPERLINK("https://mavat.iplan.gov.il/SV4/1/6072232/310")</f>
      </c>
    </row>
    <row r="251">
      <c r="A251" t="str">
        <v>כס/ מק/ 1/ 80/ ב/ 1</v>
      </c>
      <c r="B251" t="str">
        <v>בתי הגן</v>
      </c>
      <c r="C251" t="str">
        <v>מקומית</v>
      </c>
      <c r="D251" t="str">
        <v>כפר סבא</v>
      </c>
      <c r="E251" t="str">
        <v>בבדיקת תנאי סף</v>
      </c>
      <c r="F251" t="str">
        <v>לא</v>
      </c>
      <c r="G251" t="str">
        <v>לא</v>
      </c>
      <c r="H251" t="str">
        <v>לא</v>
      </c>
      <c r="I251">
        <f>=HYPERLINK("https://mavat.iplan.gov.il/SV4/1/4000202889/310")</f>
      </c>
    </row>
    <row r="252">
      <c r="A252" t="str">
        <v>צש/ מק/ 4/ 22/ 34</v>
      </c>
      <c r="B252" t="str">
        <v>בנורדיה - החלפת שטחים</v>
      </c>
      <c r="C252" t="str">
        <v>מקומית</v>
      </c>
      <c r="D252" t="str">
        <v>לב השרון,נורדיה</v>
      </c>
      <c r="E252" t="str">
        <v>בבדיקת תנאי סף</v>
      </c>
      <c r="F252" t="str">
        <v>לא</v>
      </c>
      <c r="G252" t="str">
        <v>לא</v>
      </c>
      <c r="H252" t="str">
        <v>לא</v>
      </c>
      <c r="I252">
        <f>=HYPERLINK("https://mavat.iplan.gov.il/SV4/1/4000204813/310")</f>
      </c>
    </row>
    <row r="253">
      <c r="A253" t="str">
        <v>ענ/ מק/ 1096</v>
      </c>
      <c r="B253" t="str">
        <v>מרכז קניות אום אל פחם תחנת תדלוק - הקלה מתמ"א / 23</v>
      </c>
      <c r="C253" t="str">
        <v>מקומית</v>
      </c>
      <c r="D253" t="str">
        <v>אום אל-פחם,עירון</v>
      </c>
      <c r="E253" t="str">
        <v>בבדיקת תנאי סף</v>
      </c>
      <c r="F253" t="str">
        <v>לא</v>
      </c>
      <c r="G253" t="str">
        <v>לא</v>
      </c>
      <c r="H253" t="str">
        <v>לא</v>
      </c>
      <c r="I253">
        <f>=HYPERLINK("https://mavat.iplan.gov.il/SV4/1/3000201773/310")</f>
      </c>
    </row>
    <row r="254">
      <c r="A254" t="str">
        <v>רח/ מק/ 1200/ 67</v>
      </c>
      <c r="B254" t="str">
        <v>מתחם ביה"ס צביה</v>
      </c>
      <c r="C254" t="str">
        <v>מקומית</v>
      </c>
      <c r="D254" t="str">
        <v>רחובות</v>
      </c>
      <c r="E254" t="str">
        <v>בבדיקת תנאי סף</v>
      </c>
      <c r="F254" t="str">
        <v>לא</v>
      </c>
      <c r="G254" t="str">
        <v>לא</v>
      </c>
      <c r="H254" t="str">
        <v>לא</v>
      </c>
      <c r="I254">
        <f>=HYPERLINK("https://mavat.iplan.gov.il/SV4/1/4000200759/310")</f>
      </c>
    </row>
    <row r="255">
      <c r="A255" t="str">
        <v>רח/ מק/ 2000/ יט</v>
      </c>
      <c r="B255" t="str">
        <v>תכנית לאיחוד וחלוקה בהסכמת בעלים</v>
      </c>
      <c r="C255" t="str">
        <v>מקומית</v>
      </c>
      <c r="D255" t="str">
        <v>רחובות</v>
      </c>
      <c r="E255" t="str">
        <v>בבדיקת תנאי סף</v>
      </c>
      <c r="F255" t="str">
        <v>לא</v>
      </c>
      <c r="G255" t="str">
        <v>לא</v>
      </c>
      <c r="H255" t="str">
        <v>לא</v>
      </c>
      <c r="I255">
        <f>=HYPERLINK("https://mavat.iplan.gov.il/SV4/1/4000200789/310")</f>
      </c>
    </row>
    <row r="256">
      <c r="A256" t="str">
        <v>יז/ מק/ 13320/ 04</v>
      </c>
      <c r="B256" t="str">
        <v>איחוד וחלוקה ללא שינוי בשטח הכולל של על עיוד קרקע ושינוי הוראות בינוי,גבעתאלה</v>
      </c>
      <c r="C256" t="str">
        <v>מקומית</v>
      </c>
      <c r="D256" t="str">
        <v>גבעת אלה,יזרעאלים,עמק יזרעאל</v>
      </c>
      <c r="E256" t="str">
        <v>בבדיקת תנאי סף</v>
      </c>
      <c r="F256" t="str">
        <v>לא</v>
      </c>
      <c r="G256" t="str">
        <v>לא</v>
      </c>
      <c r="H256" t="str">
        <v>לא</v>
      </c>
      <c r="I256">
        <f>=HYPERLINK("https://mavat.iplan.gov.il/SV4/1/2000203553/310")</f>
      </c>
    </row>
    <row r="257">
      <c r="A257" t="str">
        <v>כר/ מק/ 143/ 11</v>
      </c>
      <c r="B257" t="str">
        <v>מבני ציבור, דרום גבעת רם, רח' אסיף, כרמיאל</v>
      </c>
      <c r="C257" t="str">
        <v>מקומית</v>
      </c>
      <c r="D257" t="str">
        <v>כרמיאל</v>
      </c>
      <c r="E257" t="str">
        <v>בבדיקת תנאי סף</v>
      </c>
      <c r="F257" t="str">
        <v>לא</v>
      </c>
      <c r="G257" t="str">
        <v>לא</v>
      </c>
      <c r="H257" t="str">
        <v>לא</v>
      </c>
      <c r="I257">
        <f>=HYPERLINK("https://mavat.iplan.gov.il/SV4/1/2000202627/310")</f>
      </c>
    </row>
    <row r="258">
      <c r="A258" t="str">
        <v>גז/ מק/ 16/ 23</v>
      </c>
      <c r="B258" t="str">
        <v>שינוי בקו בנין צידי- מושב מצליח</v>
      </c>
      <c r="C258" t="str">
        <v>מקומית</v>
      </c>
      <c r="D258" t="str">
        <v>גזר,מצליח</v>
      </c>
      <c r="E258" t="str">
        <v>בבדיקת תנאי סף</v>
      </c>
      <c r="F258" t="str">
        <v>לא</v>
      </c>
      <c r="G258" t="str">
        <v>לא</v>
      </c>
      <c r="H258" t="str">
        <v>לא</v>
      </c>
      <c r="I258">
        <f>=HYPERLINK("https://mavat.iplan.gov.il/SV4/1/4000198947/310")</f>
      </c>
    </row>
    <row r="259">
      <c r="A259" t="str">
        <v>רנ/ מק/ 10/ ג/ 1</v>
      </c>
      <c r="B259" t="str">
        <v>מתחם משכנות המוסיקה- ראש העין</v>
      </c>
      <c r="C259" t="str">
        <v>מקומית</v>
      </c>
      <c r="D259" t="str">
        <v>ראש העין</v>
      </c>
      <c r="E259" t="str">
        <v>בבדיקת תנאי סף</v>
      </c>
      <c r="F259" t="str">
        <v>לא</v>
      </c>
      <c r="G259" t="str">
        <v>לא</v>
      </c>
      <c r="H259" t="str">
        <v>לא</v>
      </c>
      <c r="I259">
        <f>=HYPERLINK("https://mavat.iplan.gov.il/SV4/1/4000199107/310")</f>
      </c>
    </row>
    <row r="260">
      <c r="A260" t="str">
        <v>מק/ 7977/ א</v>
      </c>
      <c r="B260" t="str">
        <v>שינוי מיקום גבולות מגרשים 3,6,7,  וקביעת בינוי חדש , תלפיות מזרח</v>
      </c>
      <c r="C260" t="str">
        <v>מקומית</v>
      </c>
      <c r="D260" t="str">
        <v>ירושלים</v>
      </c>
      <c r="E260" t="str">
        <v>בבדיקת תנאי סף</v>
      </c>
      <c r="F260" t="str">
        <v>לא</v>
      </c>
      <c r="G260" t="str">
        <v>לא</v>
      </c>
      <c r="H260" t="str">
        <v>לא</v>
      </c>
      <c r="I260">
        <f>=HYPERLINK("https://mavat.iplan.gov.il/SV4/1/1000197679/310")</f>
      </c>
    </row>
    <row r="261">
      <c r="A261" t="str">
        <v>זמ/ מק/ 263/ 2/ 7</v>
      </c>
      <c r="B261" t="str">
        <v>רח' אפריים שקולניק פינת רח' יעקב גולד- מזכרת בתיה</v>
      </c>
      <c r="C261" t="str">
        <v>מקומית</v>
      </c>
      <c r="D261" t="str">
        <v>זמורה,מזכרת בתיה</v>
      </c>
      <c r="E261" t="str">
        <v>בבדיקת תנאי סף</v>
      </c>
      <c r="F261" t="str">
        <v>לא</v>
      </c>
      <c r="G261" t="str">
        <v>לא</v>
      </c>
      <c r="H261" t="str">
        <v>לא</v>
      </c>
      <c r="I261">
        <f>=HYPERLINK("https://mavat.iplan.gov.il/SV4/1/4000197407/310")</f>
      </c>
    </row>
    <row r="262">
      <c r="A262" t="str">
        <v>רצ/ מק/ 1/ 23/ 8/ 1</v>
      </c>
      <c r="B262" t="str">
        <v>הצרחת שטחים- בית כנסת לעדה האתיופית</v>
      </c>
      <c r="C262" t="str">
        <v>מקומית</v>
      </c>
      <c r="D262" t="str">
        <v>ראשון לציון</v>
      </c>
      <c r="E262" t="str">
        <v>בבדיקת תנאי סף</v>
      </c>
      <c r="F262" t="str">
        <v>לא</v>
      </c>
      <c r="G262" t="str">
        <v>לא</v>
      </c>
      <c r="H262" t="str">
        <v>לא</v>
      </c>
      <c r="I262">
        <f>=HYPERLINK("https://mavat.iplan.gov.il/SV4/1/4000196515/310")</f>
      </c>
    </row>
    <row r="263">
      <c r="A263" t="str">
        <v>רצ/ מק/ 1/ 50/ 63</v>
      </c>
      <c r="B263" t="str">
        <v>רח' הברושים, ראשון לציון- שינוי זכות מעבר וקביעת קווי בניין</v>
      </c>
      <c r="C263" t="str">
        <v>מקומית</v>
      </c>
      <c r="D263" t="str">
        <v>ראשון לציון</v>
      </c>
      <c r="E263" t="str">
        <v>בבדיקת תנאי סף</v>
      </c>
      <c r="F263" t="str">
        <v>לא</v>
      </c>
      <c r="G263" t="str">
        <v>לא</v>
      </c>
      <c r="H263" t="str">
        <v>לא</v>
      </c>
      <c r="I263">
        <f>=HYPERLINK("https://mavat.iplan.gov.il/SV4/1/4000196559/310")</f>
      </c>
    </row>
    <row r="264">
      <c r="A264" t="str">
        <v>יז/ מק/ 15064/ 01</v>
      </c>
      <c r="B264" t="str">
        <v>שינויים בחלוקת המגרשים, רמת דוד</v>
      </c>
      <c r="C264" t="str">
        <v>מקומית</v>
      </c>
      <c r="D264" t="str">
        <v>יזרעאלים,נהלל,עמק יזרעאל</v>
      </c>
      <c r="E264" t="str">
        <v>בבדיקת תנאי סף</v>
      </c>
      <c r="F264" t="str">
        <v>לא</v>
      </c>
      <c r="G264" t="str">
        <v>לא</v>
      </c>
      <c r="H264" t="str">
        <v>לא</v>
      </c>
      <c r="I264">
        <f>=HYPERLINK("https://mavat.iplan.gov.il/SV4/1/2125581/310")</f>
      </c>
    </row>
    <row r="265">
      <c r="A265" t="str">
        <v>עפ/ מק/ 206/ 7</v>
      </c>
      <c r="B265" t="str">
        <v>החלפת שטחים ע"י איחוד וחלוקה,  רח' חבצלת , עפולה</v>
      </c>
      <c r="C265" t="str">
        <v>מקומית</v>
      </c>
      <c r="D265" t="str">
        <v>עפולה</v>
      </c>
      <c r="E265" t="str">
        <v>בבדיקת תנאי סף</v>
      </c>
      <c r="F265" t="str">
        <v>לא</v>
      </c>
      <c r="G265" t="str">
        <v>לא</v>
      </c>
      <c r="H265" t="str">
        <v>לא</v>
      </c>
      <c r="I265">
        <f>=HYPERLINK("https://mavat.iplan.gov.il/SV4/1/2193055/310")</f>
      </c>
    </row>
    <row r="266">
      <c r="A266" t="str">
        <v>6/ מק/ 2137</v>
      </c>
      <c r="B266" t="str">
        <v>ישוב מרשם</v>
      </c>
      <c r="C266" t="str">
        <v>מקומית</v>
      </c>
      <c r="D266" t="str">
        <v>לכיש</v>
      </c>
      <c r="E266" t="str">
        <v>בבדיקת תנאי סף</v>
      </c>
      <c r="F266" t="str">
        <v>לא</v>
      </c>
      <c r="G266" t="str">
        <v>לא</v>
      </c>
      <c r="H266" t="str">
        <v>לא</v>
      </c>
      <c r="I266">
        <f>=HYPERLINK("https://mavat.iplan.gov.il/SV4/1/6072365/310")</f>
      </c>
    </row>
    <row r="267">
      <c r="A267" t="str">
        <v>10/ מק/ 1039</v>
      </c>
      <c r="B267" t="str">
        <v>תכנית חלוקה בהסכמת בעלים למגרש 15 באזור תעשיה מישור רותם</v>
      </c>
      <c r="C267" t="str">
        <v>מקומית</v>
      </c>
      <c r="D267" t="str">
        <v>תמר</v>
      </c>
      <c r="E267" t="str">
        <v>בבדיקת תנאי סף</v>
      </c>
      <c r="F267" t="str">
        <v>לא</v>
      </c>
      <c r="G267" t="str">
        <v>לא</v>
      </c>
      <c r="H267" t="str">
        <v>לא</v>
      </c>
      <c r="I267">
        <f>=HYPERLINK("https://mavat.iplan.gov.il/SV4/1/6072680/310")</f>
      </c>
    </row>
    <row r="268">
      <c r="A268" t="str">
        <v>22/ מק/ 2063</v>
      </c>
      <c r="B268" t="str">
        <v>שינוי של הוראה בדבר בינוי במגרשים 153, ;54 ו- 156 שכונת החורש</v>
      </c>
      <c r="C268" t="str">
        <v>מקומית</v>
      </c>
      <c r="D268" t="str">
        <v>נתיבות</v>
      </c>
      <c r="E268" t="str">
        <v>בבדיקת תנאי סף</v>
      </c>
      <c r="F268" t="str">
        <v>לא</v>
      </c>
      <c r="G268" t="str">
        <v>לא</v>
      </c>
      <c r="H268" t="str">
        <v>לא</v>
      </c>
      <c r="I268">
        <f>=HYPERLINK("https://mavat.iplan.gov.il/SV4/1/6072661/310")</f>
      </c>
    </row>
    <row r="269">
      <c r="A269" t="str">
        <v>30/ מק/ 3031</v>
      </c>
      <c r="B269" t="str">
        <v>החלפת שטחים - מפעל צין</v>
      </c>
      <c r="C269" t="str">
        <v>מקומית</v>
      </c>
      <c r="D269" t="str">
        <v>הערבה התיכונה</v>
      </c>
      <c r="E269" t="str">
        <v>בבדיקת תנאי סף</v>
      </c>
      <c r="F269" t="str">
        <v>לא</v>
      </c>
      <c r="G269" t="str">
        <v>לא</v>
      </c>
      <c r="H269" t="str">
        <v>לא</v>
      </c>
      <c r="I269">
        <f>=HYPERLINK("https://mavat.iplan.gov.il/SV4/1/6072662/310")</f>
      </c>
    </row>
    <row r="270">
      <c r="A270" t="str">
        <v>יוש/ 2/ 839</v>
      </c>
      <c r="B270" t="str">
        <v>יוש/ 2/ 839</v>
      </c>
      <c r="C270" t="str">
        <v>יו"ש -ועדה מחוזית לתכנון ערים, כפרים ומבנים</v>
      </c>
      <c r="D270" t="str">
        <v>מחוזית - אזור יהודה ושומרון</v>
      </c>
      <c r="E270" t="str">
        <v>בבדיקת תנאי סף</v>
      </c>
      <c r="F270" t="str">
        <v>כן</v>
      </c>
      <c r="G270" t="str">
        <v>כן</v>
      </c>
      <c r="H270" t="str">
        <v>לא</v>
      </c>
      <c r="I270">
        <f>=HYPERLINK("https://mavat.iplan.gov.il/SV4/1/7000266327/310")</f>
      </c>
    </row>
    <row r="271">
      <c r="A271" t="str">
        <v>רצ/ מק/ 1/ 50/ 52/ 3/ 1</v>
      </c>
      <c r="B271" t="str">
        <v>המשך מובל המים-שבזי</v>
      </c>
      <c r="C271" t="str">
        <v>מקומית</v>
      </c>
      <c r="D271" t="str">
        <v>ראשון לציון</v>
      </c>
      <c r="E271" t="str">
        <v>בבדיקת תנאי סף</v>
      </c>
      <c r="F271" t="str">
        <v>לא</v>
      </c>
      <c r="G271" t="str">
        <v>לא</v>
      </c>
      <c r="H271" t="str">
        <v>לא</v>
      </c>
      <c r="I271">
        <f>=HYPERLINK("https://mavat.iplan.gov.il/SV4/1/4104810/310")</f>
      </c>
    </row>
    <row r="272">
      <c r="A272" t="str">
        <v>נת/ מק/ 554/ 17</v>
      </c>
      <c r="B272" t="str">
        <v>בריכת חנון.</v>
      </c>
      <c r="C272" t="str">
        <v>מקומית</v>
      </c>
      <c r="D272" t="str">
        <v>נתניה</v>
      </c>
      <c r="E272" t="str">
        <v>בבדיקת תנאי סף</v>
      </c>
      <c r="F272" t="str">
        <v>לא</v>
      </c>
      <c r="G272" t="str">
        <v>לא</v>
      </c>
      <c r="H272" t="str">
        <v>לא</v>
      </c>
      <c r="I272">
        <f>=HYPERLINK("https://mavat.iplan.gov.il/SV4/1/4104555/310")</f>
      </c>
    </row>
    <row r="273">
      <c r="A273" t="str">
        <v>ענ/ מק/ 1048</v>
      </c>
      <c r="B273" t="str">
        <v>חלוקה חדשה לחלקה 47 בגוש 20415 אום אל פחם</v>
      </c>
      <c r="C273" t="str">
        <v>מקומית</v>
      </c>
      <c r="D273" t="str">
        <v>אום אל-פחם,עירון</v>
      </c>
      <c r="E273" t="str">
        <v>בבדיקת תנאי סף</v>
      </c>
      <c r="F273" t="str">
        <v>לא</v>
      </c>
      <c r="G273" t="str">
        <v>לא</v>
      </c>
      <c r="H273" t="str">
        <v>לא</v>
      </c>
      <c r="I273">
        <f>=HYPERLINK("https://mavat.iplan.gov.il/SV4/1/3077432/310")</f>
      </c>
    </row>
    <row r="274">
      <c r="A274" t="str">
        <v>רח/ מק/ 1103/ 9</v>
      </c>
      <c r="B274" t="str">
        <v>נוה עמית, רחובות.</v>
      </c>
      <c r="C274" t="str">
        <v>מקומית</v>
      </c>
      <c r="D274" t="str">
        <v>רחובות</v>
      </c>
      <c r="E274" t="str">
        <v>בבדיקת תנאי סף</v>
      </c>
      <c r="F274" t="str">
        <v>לא</v>
      </c>
      <c r="G274" t="str">
        <v>לא</v>
      </c>
      <c r="H274" t="str">
        <v>לא</v>
      </c>
      <c r="I274">
        <f>=HYPERLINK("https://mavat.iplan.gov.il/SV4/1/4104339/310")</f>
      </c>
    </row>
    <row r="275">
      <c r="A275" t="str">
        <v>22/ מק/ 2062</v>
      </c>
      <c r="B275" t="str">
        <v>העברת זכויות למגרש 1000 שכונת נווה נוי</v>
      </c>
      <c r="C275" t="str">
        <v>מקומית</v>
      </c>
      <c r="D275" t="str">
        <v>נתיבות</v>
      </c>
      <c r="E275" t="str">
        <v>בבדיקת תנאי סף</v>
      </c>
      <c r="F275" t="str">
        <v>לא</v>
      </c>
      <c r="G275" t="str">
        <v>כן</v>
      </c>
      <c r="H275" t="str">
        <v>לא</v>
      </c>
      <c r="I275">
        <f>=HYPERLINK("https://mavat.iplan.gov.il/SV4/1/6072560/310")</f>
      </c>
    </row>
    <row r="276">
      <c r="A276" t="str">
        <v>21/ מק/ 2040</v>
      </c>
      <c r="B276" t="str">
        <v>איחוד וחלוקה של מגרשים בלי שינוי בשטח הכללי של כל יעוד שדרות</v>
      </c>
      <c r="C276" t="str">
        <v>מקומית</v>
      </c>
      <c r="D276" t="str">
        <v>שדרות</v>
      </c>
      <c r="E276" t="str">
        <v>בבדיקת תנאי סף</v>
      </c>
      <c r="F276" t="str">
        <v>לא</v>
      </c>
      <c r="G276" t="str">
        <v>לא</v>
      </c>
      <c r="H276" t="str">
        <v>לא</v>
      </c>
      <c r="I276">
        <f>=HYPERLINK("https://mavat.iplan.gov.il/SV4/1/6072519/310")</f>
      </c>
    </row>
    <row r="277">
      <c r="A277" t="str">
        <v>28/ מק/ 3</v>
      </c>
      <c r="B277" t="str">
        <v>מרכז שרותים באר חיל</v>
      </c>
      <c r="C277" t="str">
        <v>מקומית</v>
      </c>
      <c r="D277" t="str">
        <v>אבו בסמה,נווה מדבר</v>
      </c>
      <c r="E277" t="str">
        <v>בבדיקת תנאי סף</v>
      </c>
      <c r="F277" t="str">
        <v>לא</v>
      </c>
      <c r="G277" t="str">
        <v>לא</v>
      </c>
      <c r="H277" t="str">
        <v>לא</v>
      </c>
      <c r="I277">
        <f>=HYPERLINK("https://mavat.iplan.gov.il/SV4/1/6070486/310")</f>
      </c>
    </row>
    <row r="278">
      <c r="A278" t="str">
        <v>חש/ מק/ 2/ 30/ א</v>
      </c>
      <c r="B278" t="str">
        <v>שינוי מיקום אזור מגורים בחלקה א' ללא שינוי סך כל זכויות הבניה בנחלה.</v>
      </c>
      <c r="C278" t="str">
        <v>מקומית</v>
      </c>
      <c r="D278" t="str">
        <v>בני ציון,חוף השרון</v>
      </c>
      <c r="E278" t="str">
        <v>בבדיקת תנאי סף</v>
      </c>
      <c r="F278" t="str">
        <v>לא</v>
      </c>
      <c r="G278" t="str">
        <v>לא</v>
      </c>
      <c r="H278" t="str">
        <v>לא</v>
      </c>
      <c r="I278">
        <f>=HYPERLINK("https://mavat.iplan.gov.il/SV4/1/4098704/310")</f>
      </c>
    </row>
    <row r="279">
      <c r="A279" t="str">
        <v>גת/ מק/ 181/ 11</v>
      </c>
      <c r="B279" t="str">
        <v>שינוי קו בנין, א. ת קדמת הגליל</v>
      </c>
      <c r="C279" t="str">
        <v>מקומית</v>
      </c>
      <c r="D279" t="str">
        <v>הגליל התחתון</v>
      </c>
      <c r="E279" t="str">
        <v>בבדיקת תנאי סף</v>
      </c>
      <c r="F279" t="str">
        <v>לא</v>
      </c>
      <c r="G279" t="str">
        <v>לא</v>
      </c>
      <c r="H279" t="str">
        <v>לא</v>
      </c>
      <c r="I279">
        <f>=HYPERLINK("https://mavat.iplan.gov.il/SV4/1/2126678/310")</f>
      </c>
    </row>
    <row r="280">
      <c r="A280" t="str">
        <v>גת/ מק/ 5907/ 5</v>
      </c>
      <c r="B280" t="str">
        <v>איחוד וחלוקה, נחלה 10, שדמות דבורה</v>
      </c>
      <c r="C280" t="str">
        <v>מקומית</v>
      </c>
      <c r="D280" t="str">
        <v>הגליל התחתון,שדמות דבורה</v>
      </c>
      <c r="E280" t="str">
        <v>בבדיקת תנאי סף</v>
      </c>
      <c r="F280" t="str">
        <v>לא</v>
      </c>
      <c r="G280" t="str">
        <v>לא</v>
      </c>
      <c r="H280" t="str">
        <v>לא</v>
      </c>
      <c r="I280">
        <f>=HYPERLINK("https://mavat.iplan.gov.il/SV4/1/2126564/310")</f>
      </c>
    </row>
    <row r="281">
      <c r="A281" t="str">
        <v>יז/ מק/ 11140/ 01</v>
      </c>
      <c r="B281" t="str">
        <v>שינוי הוראות בינוהי בשכונת ההרחבה, רמות מנשה</v>
      </c>
      <c r="C281" t="str">
        <v>מקומית</v>
      </c>
      <c r="D281" t="str">
        <v>יזרעאלים,מגידו,רמות מנשה</v>
      </c>
      <c r="E281" t="str">
        <v>בבדיקת תנאי סף</v>
      </c>
      <c r="F281" t="str">
        <v>לא</v>
      </c>
      <c r="G281" t="str">
        <v>לא</v>
      </c>
      <c r="H281" t="str">
        <v>לא</v>
      </c>
      <c r="I281">
        <f>=HYPERLINK("https://mavat.iplan.gov.il/SV4/1/2127111/310")</f>
      </c>
    </row>
    <row r="282">
      <c r="A282" t="str">
        <v>ענ/ מק/ 1061</v>
      </c>
      <c r="B282" t="str">
        <v>חלוקה חדשה - אלדרדס באקה</v>
      </c>
      <c r="C282" t="str">
        <v>מקומית</v>
      </c>
      <c r="D282" t="str">
        <v>באקה אל ג'רביה,באקה אל גרבייה,עירון</v>
      </c>
      <c r="E282" t="str">
        <v>בבדיקת תנאי סף</v>
      </c>
      <c r="F282" t="str">
        <v>לא</v>
      </c>
      <c r="G282" t="str">
        <v>לא</v>
      </c>
      <c r="H282" t="str">
        <v>לא</v>
      </c>
      <c r="I282">
        <f>=HYPERLINK("https://mavat.iplan.gov.il/SV4/1/3077212/310")</f>
      </c>
    </row>
    <row r="283">
      <c r="A283" t="str">
        <v>מק/ 13004</v>
      </c>
      <c r="B283" t="str">
        <v>שינוי בינוי  לצורך הקמת 2 מגדלי מגורים חדשים ,קרית הלאום מתחם משרד החוץ הישן</v>
      </c>
      <c r="C283" t="str">
        <v>מקומית</v>
      </c>
      <c r="D283" t="str">
        <v>ירושלים</v>
      </c>
      <c r="E283" t="str">
        <v>בבדיקת תנאי סף</v>
      </c>
      <c r="F283" t="str">
        <v>כן</v>
      </c>
      <c r="G283" t="str">
        <v>כן</v>
      </c>
      <c r="H283" t="str">
        <v>לא</v>
      </c>
      <c r="I283">
        <f>=HYPERLINK("https://mavat.iplan.gov.il/SV4/1/1079049/310")</f>
      </c>
    </row>
    <row r="284">
      <c r="A284" t="str">
        <v>2/ מק/ 466</v>
      </c>
      <c r="B284" t="str">
        <v>מגרש 902 שחמון רובע 5 אילת</v>
      </c>
      <c r="C284" t="str">
        <v>מקומית</v>
      </c>
      <c r="D284" t="str">
        <v>אילת</v>
      </c>
      <c r="E284" t="str">
        <v>בבדיקת תנאי סף</v>
      </c>
      <c r="F284" t="str">
        <v>לא</v>
      </c>
      <c r="G284" t="str">
        <v>לא</v>
      </c>
      <c r="H284" t="str">
        <v>לא</v>
      </c>
      <c r="I284">
        <f>=HYPERLINK("https://mavat.iplan.gov.il/SV4/1/6072496/310")</f>
      </c>
    </row>
    <row r="285">
      <c r="A285" t="str">
        <v>פת/ מק/ 2004/ 4</v>
      </c>
      <c r="B285" t="str">
        <v>העברת זכויות בניה ממגרש תעסוקה למגרש מגורים.</v>
      </c>
      <c r="C285" t="str">
        <v>מקומית</v>
      </c>
      <c r="D285" t="str">
        <v>פתח תקוה</v>
      </c>
      <c r="E285" t="str">
        <v>בבדיקת תנאי סף</v>
      </c>
      <c r="F285" t="str">
        <v>לא</v>
      </c>
      <c r="G285" t="str">
        <v>לא</v>
      </c>
      <c r="H285" t="str">
        <v>לא</v>
      </c>
      <c r="I285">
        <f>=HYPERLINK("https://mavat.iplan.gov.il/SV4/1/4103477/310")</f>
      </c>
    </row>
    <row r="286">
      <c r="A286" t="str">
        <v>7/ מק/ 2134</v>
      </c>
      <c r="B286" t="str">
        <v>מרכז תושיה מגרים A 83 ו- A 81</v>
      </c>
      <c r="C286" t="str">
        <v>מקומית</v>
      </c>
      <c r="D286" t="str">
        <v>נגב מערבי,שדות נגב,תושיה</v>
      </c>
      <c r="E286" t="str">
        <v>בבדיקת תנאי סף</v>
      </c>
      <c r="F286" t="str">
        <v>לא</v>
      </c>
      <c r="G286" t="str">
        <v>כן</v>
      </c>
      <c r="H286" t="str">
        <v>לא</v>
      </c>
      <c r="I286">
        <f>=HYPERLINK("https://mavat.iplan.gov.il/SV4/1/6072495/310")</f>
      </c>
    </row>
    <row r="287">
      <c r="A287" t="str">
        <v>מה/ מק/ 12357/ 3</v>
      </c>
      <c r="B287" t="str">
        <v>שינוי קווי בנין    , מגדל העמק</v>
      </c>
      <c r="C287" t="str">
        <v>מקומית</v>
      </c>
      <c r="D287" t="str">
        <v>מגדל העמק</v>
      </c>
      <c r="E287" t="str">
        <v>בבדיקת תנאי סף</v>
      </c>
      <c r="F287" t="str">
        <v>לא</v>
      </c>
      <c r="G287" t="str">
        <v>לא</v>
      </c>
      <c r="H287" t="str">
        <v>לא</v>
      </c>
      <c r="I287">
        <f>=HYPERLINK("https://mavat.iplan.gov.il/SV4/1/2126978/310")</f>
      </c>
    </row>
    <row r="288">
      <c r="A288" t="str">
        <v>15/ מק/ 2034</v>
      </c>
      <c r="B288" t="str">
        <v>מגורים ברחוב ארז 37 מיתר</v>
      </c>
      <c r="C288" t="str">
        <v>מקומית</v>
      </c>
      <c r="D288" t="str">
        <v>מיתר</v>
      </c>
      <c r="E288" t="str">
        <v>בבדיקת תנאי סף</v>
      </c>
      <c r="F288" t="str">
        <v>לא</v>
      </c>
      <c r="G288" t="str">
        <v>כן</v>
      </c>
      <c r="H288" t="str">
        <v>לא</v>
      </c>
      <c r="I288">
        <f>=HYPERLINK("https://mavat.iplan.gov.il/SV4/1/6072429/310")</f>
      </c>
    </row>
    <row r="289">
      <c r="A289" t="str">
        <v>2/ מק/ 455</v>
      </c>
      <c r="B289" t="str">
        <v>מגרש 255 שכונת שחמון רובע 6 אילת</v>
      </c>
      <c r="C289" t="str">
        <v>מקומית</v>
      </c>
      <c r="D289" t="str">
        <v>אילת</v>
      </c>
      <c r="E289" t="str">
        <v>בבדיקת תנאי סף</v>
      </c>
      <c r="F289" t="str">
        <v>לא</v>
      </c>
      <c r="G289" t="str">
        <v>לא</v>
      </c>
      <c r="H289" t="str">
        <v>לא</v>
      </c>
      <c r="I289">
        <f>=HYPERLINK("https://mavat.iplan.gov.il/SV4/1/6072422/310")</f>
      </c>
    </row>
    <row r="290">
      <c r="A290" t="str">
        <v>2/ מק/ 460</v>
      </c>
      <c r="B290" t="str">
        <v>מגרש 211 מערב 7 משעול יולית 12 אילת</v>
      </c>
      <c r="C290" t="str">
        <v>מקומית</v>
      </c>
      <c r="D290" t="str">
        <v>אילת</v>
      </c>
      <c r="E290" t="str">
        <v>בבדיקת תנאי סף</v>
      </c>
      <c r="F290" t="str">
        <v>לא</v>
      </c>
      <c r="G290" t="str">
        <v>לא</v>
      </c>
      <c r="H290" t="str">
        <v>לא</v>
      </c>
      <c r="I290">
        <f>=HYPERLINK("https://mavat.iplan.gov.il/SV4/1/6072421/310")</f>
      </c>
    </row>
    <row r="291">
      <c r="A291" t="str">
        <v>6/ מק/ 2110</v>
      </c>
      <c r="B291" t="str">
        <v xml:space="preserve"> יצירת מסגרת תכנונית לצורך הסדרת מצב קיים שינוי בקווי בניין בצדדים ואחוריים</v>
      </c>
      <c r="C291" t="str">
        <v>מקומית</v>
      </c>
      <c r="D291" t="str">
        <v>לכיש,מנוחה</v>
      </c>
      <c r="E291" t="str">
        <v>בבדיקת תנאי סף</v>
      </c>
      <c r="F291" t="str">
        <v>לא</v>
      </c>
      <c r="G291" t="str">
        <v>לא</v>
      </c>
      <c r="H291" t="str">
        <v>לא</v>
      </c>
      <c r="I291">
        <f>=HYPERLINK("https://mavat.iplan.gov.il/SV4/1/6072048/310")</f>
      </c>
    </row>
    <row r="292">
      <c r="A292" t="str">
        <v>7/ מק/ 2105</v>
      </c>
      <c r="B292" t="str">
        <v>חלקה 64 - מושב יכיני</v>
      </c>
      <c r="C292" t="str">
        <v>מקומית</v>
      </c>
      <c r="D292" t="str">
        <v>יכיני,נגב מערבי,שער הנגב</v>
      </c>
      <c r="E292" t="str">
        <v>בבדיקת תנאי סף</v>
      </c>
      <c r="F292" t="str">
        <v>לא</v>
      </c>
      <c r="G292" t="str">
        <v>לא</v>
      </c>
      <c r="H292" t="str">
        <v>לא</v>
      </c>
      <c r="I292">
        <f>=HYPERLINK("https://mavat.iplan.gov.il/SV4/1/6072408/310")</f>
      </c>
    </row>
    <row r="293">
      <c r="A293" t="str">
        <v>7/ מק/ 2546</v>
      </c>
      <c r="B293" t="str">
        <v>מגרש 284 שכונה 11 לקיה</v>
      </c>
      <c r="C293" t="str">
        <v>מקומית</v>
      </c>
      <c r="D293" t="str">
        <v>לקיה,נגב מזרחי</v>
      </c>
      <c r="E293" t="str">
        <v>בבדיקת תנאי סף</v>
      </c>
      <c r="F293" t="str">
        <v>כן</v>
      </c>
      <c r="G293" t="str">
        <v>כן</v>
      </c>
      <c r="H293" t="str">
        <v>לא</v>
      </c>
      <c r="I293">
        <f>=HYPERLINK("https://mavat.iplan.gov.il/SV4/1/6072404/310")</f>
      </c>
    </row>
    <row r="294">
      <c r="A294" t="str">
        <v>7/ מק/ 2549</v>
      </c>
      <c r="B294" t="str">
        <v>מגרש 1 שכונה 1 לקיה</v>
      </c>
      <c r="C294" t="str">
        <v>מקומית</v>
      </c>
      <c r="D294" t="str">
        <v>לקיה,נגב מזרחי</v>
      </c>
      <c r="E294" t="str">
        <v>בבדיקת תנאי סף</v>
      </c>
      <c r="F294" t="str">
        <v>לא</v>
      </c>
      <c r="G294" t="str">
        <v>לא</v>
      </c>
      <c r="H294" t="str">
        <v>לא</v>
      </c>
      <c r="I294">
        <f>=HYPERLINK("https://mavat.iplan.gov.il/SV4/1/6072403/310")</f>
      </c>
    </row>
    <row r="295">
      <c r="A295" t="str">
        <v>רע/ מק/ 1001</v>
      </c>
      <c r="B295" t="str">
        <v>השלמת רח' דפנה וחיבורו לדרך הפארק.</v>
      </c>
      <c r="C295" t="str">
        <v>מקומית</v>
      </c>
      <c r="D295" t="str">
        <v>רעננה</v>
      </c>
      <c r="E295" t="str">
        <v>בבדיקת תנאי סף</v>
      </c>
      <c r="F295" t="str">
        <v>לא</v>
      </c>
      <c r="G295" t="str">
        <v>לא</v>
      </c>
      <c r="H295" t="str">
        <v>לא</v>
      </c>
      <c r="I295">
        <f>=HYPERLINK("https://mavat.iplan.gov.il/SV4/1/4103798/310")</f>
      </c>
    </row>
    <row r="296">
      <c r="A296" t="str">
        <v>ש/ מק/ 1033</v>
      </c>
      <c r="B296" t="str">
        <v>שינוי מיקום שטחים ציבוריים.</v>
      </c>
      <c r="C296" t="str">
        <v>מקומית</v>
      </c>
      <c r="D296" t="str">
        <v>אור עקיבא,יישובי הברון</v>
      </c>
      <c r="E296" t="str">
        <v>בבדיקת תנאי סף</v>
      </c>
      <c r="F296" t="str">
        <v>לא</v>
      </c>
      <c r="G296" t="str">
        <v>לא</v>
      </c>
      <c r="H296" t="str">
        <v>לא</v>
      </c>
      <c r="I296">
        <f>=HYPERLINK("https://mavat.iplan.gov.il/SV4/1/3068023/310")</f>
      </c>
    </row>
    <row r="297">
      <c r="A297" t="str">
        <v>6/ מק/ 2127</v>
      </c>
      <c r="B297" t="str">
        <v>כפר מנחם</v>
      </c>
      <c r="C297" t="str">
        <v>מקומית</v>
      </c>
      <c r="D297" t="str">
        <v>יואב,כפר מנחם</v>
      </c>
      <c r="E297" t="str">
        <v>בבדיקת תנאי סף</v>
      </c>
      <c r="F297" t="str">
        <v>כן</v>
      </c>
      <c r="G297" t="str">
        <v>כן</v>
      </c>
      <c r="H297" t="str">
        <v>לא</v>
      </c>
      <c r="I297">
        <f>=HYPERLINK("https://mavat.iplan.gov.il/SV4/1/6071811/310")</f>
      </c>
    </row>
    <row r="298">
      <c r="A298" t="str">
        <v>24/ מק/ 2050</v>
      </c>
      <c r="B298" t="str">
        <v>שינוי קו בניין ברחוב התעשיה 47-49 ערד</v>
      </c>
      <c r="C298" t="str">
        <v>מקומית</v>
      </c>
      <c r="D298" t="str">
        <v>ערד</v>
      </c>
      <c r="E298" t="str">
        <v>בבדיקת תנאי סף</v>
      </c>
      <c r="F298" t="str">
        <v>לא</v>
      </c>
      <c r="G298" t="str">
        <v>לא</v>
      </c>
      <c r="H298" t="str">
        <v>לא</v>
      </c>
      <c r="I298">
        <f>=HYPERLINK("https://mavat.iplan.gov.il/SV4/1/6072362/310")</f>
      </c>
    </row>
    <row r="299">
      <c r="A299" t="str">
        <v>22/ מק/ 2057</v>
      </c>
      <c r="B299" t="str">
        <v>מפעל לאריזות ואחסנה פארק תעשיה נתיבות</v>
      </c>
      <c r="C299" t="str">
        <v>מקומית</v>
      </c>
      <c r="D299" t="str">
        <v>נתיבות</v>
      </c>
      <c r="E299" t="str">
        <v>בבדיקת תנאי סף</v>
      </c>
      <c r="F299" t="str">
        <v>לא</v>
      </c>
      <c r="G299" t="str">
        <v>כן</v>
      </c>
      <c r="H299" t="str">
        <v>לא</v>
      </c>
      <c r="I299">
        <f>=HYPERLINK("https://mavat.iplan.gov.il/SV4/1/6072334/310")</f>
      </c>
    </row>
    <row r="300">
      <c r="A300" t="str">
        <v>30/ מק/ 3028</v>
      </c>
      <c r="B300" t="str">
        <v>מגרש מס' 534 - מושב עידן</v>
      </c>
      <c r="C300" t="str">
        <v>מקומית</v>
      </c>
      <c r="D300" t="str">
        <v>הערבה התיכונה,עידן</v>
      </c>
      <c r="E300" t="str">
        <v>בבדיקת תנאי סף</v>
      </c>
      <c r="F300" t="str">
        <v>לא</v>
      </c>
      <c r="G300" t="str">
        <v>לא</v>
      </c>
      <c r="H300" t="str">
        <v>לא</v>
      </c>
      <c r="I300">
        <f>=HYPERLINK("https://mavat.iplan.gov.il/SV4/1/6072350/310")</f>
      </c>
    </row>
    <row r="301">
      <c r="A301" t="str">
        <v>30/ מק/ 3029</v>
      </c>
      <c r="B301" t="str">
        <v>מושב עידן</v>
      </c>
      <c r="C301" t="str">
        <v>מקומית</v>
      </c>
      <c r="D301" t="str">
        <v>הערבה התיכונה,עידן</v>
      </c>
      <c r="E301" t="str">
        <v>בבדיקת תנאי סף</v>
      </c>
      <c r="F301" t="str">
        <v>לא</v>
      </c>
      <c r="G301" t="str">
        <v>לא</v>
      </c>
      <c r="H301" t="str">
        <v>לא</v>
      </c>
      <c r="I301">
        <f>=HYPERLINK("https://mavat.iplan.gov.il/SV4/1/6072335/310")</f>
      </c>
    </row>
    <row r="302">
      <c r="A302" t="str">
        <v>5/ מק/ 2487</v>
      </c>
      <c r="B302" t="str">
        <v>רחוב צבר 15, נווה נוי</v>
      </c>
      <c r="C302" t="str">
        <v>מקומית</v>
      </c>
      <c r="D302" t="str">
        <v>באר שבע</v>
      </c>
      <c r="E302" t="str">
        <v>בבדיקת תנאי סף</v>
      </c>
      <c r="F302" t="str">
        <v>לא</v>
      </c>
      <c r="G302" t="str">
        <v>לא</v>
      </c>
      <c r="H302" t="str">
        <v>לא</v>
      </c>
      <c r="I302">
        <f>=HYPERLINK("https://mavat.iplan.gov.il/SV4/1/6072342/310")</f>
      </c>
    </row>
    <row r="303">
      <c r="A303" t="str">
        <v>5/ מק/ 2538</v>
      </c>
      <c r="B303" t="str">
        <v>רחוב הברזל אזור תעשיה עמק שרה</v>
      </c>
      <c r="C303" t="str">
        <v>מקומית</v>
      </c>
      <c r="D303" t="str">
        <v>באר שבע</v>
      </c>
      <c r="E303" t="str">
        <v>בבדיקת תנאי סף</v>
      </c>
      <c r="F303" t="str">
        <v>לא</v>
      </c>
      <c r="G303" t="str">
        <v>לא</v>
      </c>
      <c r="H303" t="str">
        <v>לא</v>
      </c>
      <c r="I303">
        <f>=HYPERLINK("https://mavat.iplan.gov.il/SV4/1/6072340/310")</f>
      </c>
    </row>
    <row r="304">
      <c r="A304" t="str">
        <v>7/ מק/ 2089</v>
      </c>
      <c r="B304" t="str">
        <v>חוות תל מפסח - מושב ניר עקביא</v>
      </c>
      <c r="C304" t="str">
        <v>מקומית</v>
      </c>
      <c r="D304" t="str">
        <v>מרחבים,נגב מערבי,ניר עקיבא</v>
      </c>
      <c r="E304" t="str">
        <v>בבדיקת תנאי סף</v>
      </c>
      <c r="F304" t="str">
        <v>לא</v>
      </c>
      <c r="G304" t="str">
        <v>לא</v>
      </c>
      <c r="H304" t="str">
        <v>לא</v>
      </c>
      <c r="I304">
        <f>=HYPERLINK("https://mavat.iplan.gov.il/SV4/1/6052003/310")</f>
      </c>
    </row>
    <row r="305">
      <c r="A305" t="str">
        <v>21/ מק/ 2039</v>
      </c>
      <c r="B305" t="str">
        <v>רובע מ-3 שכונת יצחק רבין מגרשים 400 עד 453</v>
      </c>
      <c r="C305" t="str">
        <v>מקומית</v>
      </c>
      <c r="D305" t="str">
        <v>שדרות</v>
      </c>
      <c r="E305" t="str">
        <v>בבדיקת תנאי סף</v>
      </c>
      <c r="F305" t="str">
        <v>לא</v>
      </c>
      <c r="G305" t="str">
        <v>כן</v>
      </c>
      <c r="H305" t="str">
        <v>לא</v>
      </c>
      <c r="I305">
        <f>=HYPERLINK("https://mavat.iplan.gov.il/SV4/1/6071807/310")</f>
      </c>
    </row>
    <row r="306">
      <c r="A306" t="str">
        <v>20/ מק/ 3032</v>
      </c>
      <c r="B306" t="str">
        <v>מרכז אזרחי - מדרשת בן גוריון</v>
      </c>
      <c r="C306" t="str">
        <v>מקומית</v>
      </c>
      <c r="D306" t="str">
        <v>מדרשת בן גוריון,רמת נגב</v>
      </c>
      <c r="E306" t="str">
        <v>בבדיקת תנאי סף</v>
      </c>
      <c r="F306" t="str">
        <v>לא</v>
      </c>
      <c r="G306" t="str">
        <v>כן</v>
      </c>
      <c r="H306" t="str">
        <v>לא</v>
      </c>
      <c r="I306">
        <f>=HYPERLINK("https://mavat.iplan.gov.il/SV4/1/6071697/310")</f>
      </c>
    </row>
    <row r="307">
      <c r="A307" t="str">
        <v>כר/ מק/ 199/ 1</v>
      </c>
      <c r="B307" t="str">
        <v>איחוד וחלוקה מגרשים 604, 608 כרמיאל</v>
      </c>
      <c r="C307" t="str">
        <v>מקומית</v>
      </c>
      <c r="D307" t="str">
        <v>כרמיאל</v>
      </c>
      <c r="E307" t="str">
        <v>בבדיקת תנאי סף</v>
      </c>
      <c r="F307" t="str">
        <v>לא</v>
      </c>
      <c r="G307" t="str">
        <v>לא</v>
      </c>
      <c r="H307" t="str">
        <v>לא</v>
      </c>
      <c r="I307">
        <f>=HYPERLINK("https://mavat.iplan.gov.il/SV4/1/2126304/310")</f>
      </c>
    </row>
    <row r="308">
      <c r="A308" t="str">
        <v>זב/ מק/ 71/ ו</v>
      </c>
      <c r="B308" t="str">
        <v>שינוי קוי בניין מדרך מס' 2 בכפר ביאליק</v>
      </c>
      <c r="C308" t="str">
        <v>מקומית</v>
      </c>
      <c r="D308" t="str">
        <v>זבולון,כפר ביאליק</v>
      </c>
      <c r="E308" t="str">
        <v>בבדיקת תנאי סף</v>
      </c>
      <c r="F308" t="str">
        <v>לא</v>
      </c>
      <c r="G308" t="str">
        <v>לא</v>
      </c>
      <c r="H308" t="str">
        <v>לא</v>
      </c>
      <c r="I308">
        <f>=HYPERLINK("https://mavat.iplan.gov.il/SV4/1/3076525/310")</f>
      </c>
    </row>
    <row r="309">
      <c r="A309" t="str">
        <v>יד/ מק/ 5065</v>
      </c>
      <c r="B309" t="str">
        <v>כניסה זמנית ליהוד</v>
      </c>
      <c r="C309" t="str">
        <v>מקומית</v>
      </c>
      <c r="D309" t="str">
        <v>יהוד,יהוד-מונוסון</v>
      </c>
      <c r="E309" t="str">
        <v>בבדיקת תנאי סף</v>
      </c>
      <c r="F309" t="str">
        <v>לא</v>
      </c>
      <c r="G309" t="str">
        <v>לא</v>
      </c>
      <c r="H309" t="str">
        <v>לא</v>
      </c>
      <c r="I309">
        <f>=HYPERLINK("https://mavat.iplan.gov.il/SV4/1/4102639/310")</f>
      </c>
    </row>
    <row r="310">
      <c r="A310" t="str">
        <v>גמ/ מק/ 10023/ 308</v>
      </c>
      <c r="B310" t="str">
        <v xml:space="preserve"> ביטול  סימון להריסת מבנים קימים , נין</v>
      </c>
      <c r="C310" t="str">
        <v>מקומית</v>
      </c>
      <c r="D310" t="str">
        <v>בוסתן אל מארג',הגליל המזרחי,נין</v>
      </c>
      <c r="E310" t="str">
        <v>בבדיקת תנאי סף</v>
      </c>
      <c r="F310" t="str">
        <v>לא</v>
      </c>
      <c r="G310" t="str">
        <v>לא</v>
      </c>
      <c r="H310" t="str">
        <v>לא</v>
      </c>
      <c r="I310">
        <f>=HYPERLINK("https://mavat.iplan.gov.il/SV4/1/2125219/310")</f>
      </c>
    </row>
    <row r="311">
      <c r="A311" t="str">
        <v>גז/ מק/ 14/ 19</v>
      </c>
      <c r="B311" t="str">
        <v>קבוץ חולדה</v>
      </c>
      <c r="C311" t="str">
        <v>מקומית</v>
      </c>
      <c r="D311" t="str">
        <v>גזר,חולדה</v>
      </c>
      <c r="E311" t="str">
        <v>בבדיקת תנאי סף</v>
      </c>
      <c r="F311" t="str">
        <v>לא</v>
      </c>
      <c r="G311" t="str">
        <v>לא</v>
      </c>
      <c r="H311" t="str">
        <v>לא</v>
      </c>
      <c r="I311">
        <f>=HYPERLINK("https://mavat.iplan.gov.il/SV4/1/4097694/310")</f>
      </c>
    </row>
    <row r="312">
      <c r="A312" t="str">
        <v>2/ מק/ 446</v>
      </c>
      <c r="B312" t="str">
        <v>מגרש 7 שחמון רובע 4</v>
      </c>
      <c r="C312" t="str">
        <v>מקומית</v>
      </c>
      <c r="D312" t="str">
        <v>אילת</v>
      </c>
      <c r="E312" t="str">
        <v>בבדיקת תנאי סף</v>
      </c>
      <c r="F312" t="str">
        <v>לא</v>
      </c>
      <c r="G312" t="str">
        <v>לא</v>
      </c>
      <c r="H312" t="str">
        <v>לא</v>
      </c>
      <c r="I312">
        <f>=HYPERLINK("https://mavat.iplan.gov.il/SV4/1/6072087/310")</f>
      </c>
    </row>
    <row r="313">
      <c r="A313" t="str">
        <v>25/ מק/ 1055</v>
      </c>
      <c r="B313" t="str">
        <v>שינוי קו בניין קדמי בקיוסק בשכונת נאות הללי</v>
      </c>
      <c r="C313" t="str">
        <v>מקומית</v>
      </c>
      <c r="D313" t="str">
        <v>דימונה</v>
      </c>
      <c r="E313" t="str">
        <v>בבדיקת תנאי סף</v>
      </c>
      <c r="F313" t="str">
        <v>לא</v>
      </c>
      <c r="G313" t="str">
        <v>כן</v>
      </c>
      <c r="H313" t="str">
        <v>לא</v>
      </c>
      <c r="I313">
        <f>=HYPERLINK("https://mavat.iplan.gov.il/SV4/1/6072112/310")</f>
      </c>
    </row>
    <row r="314">
      <c r="A314" t="str">
        <v>ענ/ מק/ 862</v>
      </c>
      <c r="B314" t="str">
        <v>חלוקה ללא הסכמת בחלקה 12 בגוש 20315 שכ' עין אברהים</v>
      </c>
      <c r="C314" t="str">
        <v>מקומית</v>
      </c>
      <c r="D314" t="str">
        <v>אום אל-פחם,עירון</v>
      </c>
      <c r="E314" t="str">
        <v>בבדיקת תנאי סף</v>
      </c>
      <c r="F314" t="str">
        <v>לא</v>
      </c>
      <c r="G314" t="str">
        <v>לא</v>
      </c>
      <c r="H314" t="str">
        <v>לא</v>
      </c>
      <c r="I314">
        <f>=HYPERLINK("https://mavat.iplan.gov.il/SV4/1/3076206/310")</f>
      </c>
    </row>
    <row r="315">
      <c r="A315" t="str">
        <v>מה/ מק/ 6331/ 02</v>
      </c>
      <c r="B315" t="str">
        <v>מתחם תעשיות אלקטרוניקה, מגדל העמק</v>
      </c>
      <c r="C315" t="str">
        <v>מקומית</v>
      </c>
      <c r="D315" t="str">
        <v>מגדל העמק</v>
      </c>
      <c r="E315" t="str">
        <v>בבדיקת תנאי סף</v>
      </c>
      <c r="F315" t="str">
        <v>לא</v>
      </c>
      <c r="G315" t="str">
        <v>לא</v>
      </c>
      <c r="H315" t="str">
        <v>לא</v>
      </c>
      <c r="I315">
        <f>=HYPERLINK("https://mavat.iplan.gov.il/SV4/1/2125579/310")</f>
      </c>
    </row>
    <row r="316">
      <c r="A316" t="str">
        <v>18/ מק/ 2056</v>
      </c>
      <c r="B316" t="str">
        <v>ישיבת קרן אורה</v>
      </c>
      <c r="C316" t="str">
        <v>מקומית</v>
      </c>
      <c r="D316" t="str">
        <v>קרית מלאכי</v>
      </c>
      <c r="E316" t="str">
        <v>בבדיקת תנאי סף</v>
      </c>
      <c r="F316" t="str">
        <v>כן</v>
      </c>
      <c r="G316" t="str">
        <v>כן</v>
      </c>
      <c r="H316" t="str">
        <v>לא</v>
      </c>
      <c r="I316">
        <f>=HYPERLINK("https://mavat.iplan.gov.il/SV4/1/6071941/310")</f>
      </c>
    </row>
    <row r="317">
      <c r="A317" t="str">
        <v>בבש/ מק/ 17</v>
      </c>
      <c r="B317" t="str">
        <v>איחוד וחלוקה בהסכמה, קיבוץ חמדיה</v>
      </c>
      <c r="C317" t="str">
        <v>מקומית</v>
      </c>
      <c r="D317" t="str">
        <v>חמדיה,עמק המעיינות</v>
      </c>
      <c r="E317" t="str">
        <v>בבדיקת תנאי סף</v>
      </c>
      <c r="F317" t="str">
        <v>לא</v>
      </c>
      <c r="G317" t="str">
        <v>לא</v>
      </c>
      <c r="H317" t="str">
        <v>לא</v>
      </c>
      <c r="I317">
        <f>=HYPERLINK("https://mavat.iplan.gov.il/SV4/1/2124333/310")</f>
      </c>
    </row>
    <row r="318">
      <c r="A318" t="str">
        <v>26/ מק/ 118/ 1</v>
      </c>
      <c r="B318" t="str">
        <v>איחוד מגרשים ציבוריים מס' 925 ו- 928 והחלפת מיקומם שכונת הגיבעה</v>
      </c>
      <c r="C318" t="str">
        <v>מקומית</v>
      </c>
      <c r="D318" t="str">
        <v>ירוחם</v>
      </c>
      <c r="E318" t="str">
        <v>בבדיקת תנאי סף</v>
      </c>
      <c r="F318" t="str">
        <v>כן</v>
      </c>
      <c r="G318" t="str">
        <v>כן</v>
      </c>
      <c r="H318" t="str">
        <v>לא</v>
      </c>
      <c r="I318">
        <f>=HYPERLINK("https://mavat.iplan.gov.il/SV4/1/6071071/310")</f>
      </c>
    </row>
    <row r="319">
      <c r="A319" t="str">
        <v>ש/ מק/ 1300</v>
      </c>
      <c r="B319" t="str">
        <v>ניוד והחלפת מיקום שביל ואתר לבניני ציבור</v>
      </c>
      <c r="C319" t="str">
        <v>מקומית</v>
      </c>
      <c r="D319" t="str">
        <v>יישובי הברון,פוריידיס</v>
      </c>
      <c r="E319" t="str">
        <v>בבדיקת תנאי סף</v>
      </c>
      <c r="F319" t="str">
        <v>לא</v>
      </c>
      <c r="G319" t="str">
        <v>לא</v>
      </c>
      <c r="H319" t="str">
        <v>לא</v>
      </c>
      <c r="I319">
        <f>=HYPERLINK("https://mavat.iplan.gov.il/SV4/1/3076105/310")</f>
      </c>
    </row>
    <row r="320">
      <c r="A320" t="str">
        <v>18/ מק/ 2058</v>
      </c>
      <c r="B320" t="str">
        <v>קריית מלאכי - משפ' ג'ורי</v>
      </c>
      <c r="C320" t="str">
        <v>מקומית</v>
      </c>
      <c r="D320" t="str">
        <v>קרית מלאכי</v>
      </c>
      <c r="E320" t="str">
        <v>בבדיקת תנאי סף</v>
      </c>
      <c r="F320" t="str">
        <v>כן</v>
      </c>
      <c r="G320" t="str">
        <v>כן</v>
      </c>
      <c r="H320" t="str">
        <v>לא</v>
      </c>
      <c r="I320">
        <f>=HYPERLINK("https://mavat.iplan.gov.il/SV4/1/6071901/310")</f>
      </c>
    </row>
    <row r="321">
      <c r="A321" t="str">
        <v>מי/ מק/ 526/ א/ 1</v>
      </c>
      <c r="B321" t="str">
        <v>שינויים והסדרת מגרשים בהרחבה במושב תרום</v>
      </c>
      <c r="C321" t="str">
        <v>מקומית</v>
      </c>
      <c r="D321" t="str">
        <v>מטה יהודה,תרום</v>
      </c>
      <c r="E321" t="str">
        <v>בבדיקת תנאי סף</v>
      </c>
      <c r="F321" t="str">
        <v>לא</v>
      </c>
      <c r="G321" t="str">
        <v>לא</v>
      </c>
      <c r="H321" t="str">
        <v>לא</v>
      </c>
      <c r="I321">
        <f>=HYPERLINK("https://mavat.iplan.gov.il/SV4/1/1077778/310")</f>
      </c>
    </row>
    <row r="322">
      <c r="A322" t="str">
        <v>25/ מק/ 1054</v>
      </c>
      <c r="B322" t="str">
        <v>מגרש מספר 9 באזור תעשיה רחוב הפועלים 33 דימונה</v>
      </c>
      <c r="C322" t="str">
        <v>מקומית</v>
      </c>
      <c r="D322" t="str">
        <v>דימונה</v>
      </c>
      <c r="E322" t="str">
        <v>בבדיקת תנאי סף</v>
      </c>
      <c r="F322" t="str">
        <v>כן</v>
      </c>
      <c r="G322" t="str">
        <v>כן</v>
      </c>
      <c r="H322" t="str">
        <v>לא</v>
      </c>
      <c r="I322">
        <f>=HYPERLINK("https://mavat.iplan.gov.il/SV4/1/6071907/310")</f>
      </c>
    </row>
    <row r="323">
      <c r="A323" t="str">
        <v>ענ/ מק/ 1014</v>
      </c>
      <c r="B323" t="str">
        <v>אלשוקפאן - איחוד וחלוקה ללא הסכמת הבעלים</v>
      </c>
      <c r="C323" t="str">
        <v>מקומית</v>
      </c>
      <c r="D323" t="str">
        <v>באקה אל ג'רביה,באקה אל גרבייה,עירון</v>
      </c>
      <c r="E323" t="str">
        <v>בבדיקת תנאי סף</v>
      </c>
      <c r="F323" t="str">
        <v>לא</v>
      </c>
      <c r="G323" t="str">
        <v>לא</v>
      </c>
      <c r="H323" t="str">
        <v>לא</v>
      </c>
      <c r="I323">
        <f>=HYPERLINK("https://mavat.iplan.gov.il/SV4/1/3076001/310")</f>
      </c>
    </row>
    <row r="324">
      <c r="A324" t="str">
        <v>יד/ מק/ 6185/ א</v>
      </c>
      <c r="B324" t="str">
        <v>התחדשות עירונית - מתחם "התמר".איחוד וחלוקה.</v>
      </c>
      <c r="C324" t="str">
        <v>מקומית</v>
      </c>
      <c r="D324" t="str">
        <v>יהוד,יהוד-מונוסון</v>
      </c>
      <c r="E324" t="str">
        <v>בבדיקת תנאי סף</v>
      </c>
      <c r="F324" t="str">
        <v>כן</v>
      </c>
      <c r="G324" t="str">
        <v>לא</v>
      </c>
      <c r="H324" t="str">
        <v>לא</v>
      </c>
      <c r="I324">
        <f>=HYPERLINK("https://mavat.iplan.gov.il/SV4/1/4099617/310")</f>
      </c>
    </row>
    <row r="325">
      <c r="A325" t="str">
        <v>יז/ מק/ 287/ 09</v>
      </c>
      <c r="B325" t="str">
        <v>קירוי מגרש ספורט, אחוזת ברק</v>
      </c>
      <c r="C325" t="str">
        <v>מקומית</v>
      </c>
      <c r="D325" t="str">
        <v>אחוזת ברק,יזרעאלים,עמק יזרעאל</v>
      </c>
      <c r="E325" t="str">
        <v>בבדיקת תנאי סף</v>
      </c>
      <c r="F325" t="str">
        <v>לא</v>
      </c>
      <c r="G325" t="str">
        <v>לא</v>
      </c>
      <c r="H325" t="str">
        <v>לא</v>
      </c>
      <c r="I325">
        <f>=HYPERLINK("https://mavat.iplan.gov.il/SV4/1/2125342/310")</f>
      </c>
    </row>
    <row r="326">
      <c r="A326" t="str">
        <v>נס/ מק/ 43/ 12</v>
      </c>
      <c r="B326" t="str">
        <v>אל אופ, נס ציונה.</v>
      </c>
      <c r="C326" t="str">
        <v>מקומית</v>
      </c>
      <c r="D326" t="str">
        <v>נס ציונה</v>
      </c>
      <c r="E326" t="str">
        <v>בבדיקת תנאי סף</v>
      </c>
      <c r="F326" t="str">
        <v>לא</v>
      </c>
      <c r="G326" t="str">
        <v>לא</v>
      </c>
      <c r="H326" t="str">
        <v>לא</v>
      </c>
      <c r="I326">
        <f>=HYPERLINK("https://mavat.iplan.gov.il/SV4/1/4101175/310")</f>
      </c>
    </row>
    <row r="327">
      <c r="A327" t="str">
        <v>7/ מק/ 2113</v>
      </c>
      <c r="B327" t="str">
        <v>נבטים - מגורים</v>
      </c>
      <c r="C327" t="str">
        <v>מקומית</v>
      </c>
      <c r="D327" t="str">
        <v>בני שמעון,נבטים</v>
      </c>
      <c r="E327" t="str">
        <v>בבדיקת תנאי סף</v>
      </c>
      <c r="F327" t="str">
        <v>כן</v>
      </c>
      <c r="G327" t="str">
        <v>כן</v>
      </c>
      <c r="H327" t="str">
        <v>לא</v>
      </c>
      <c r="I327">
        <f>=HYPERLINK("https://mavat.iplan.gov.il/SV4/1/6071219/310")</f>
      </c>
    </row>
    <row r="328">
      <c r="A328" t="str">
        <v>6/ מק/ 2123</v>
      </c>
      <c r="B328" t="str">
        <v>מרכז יואב - צומת ראם - אזור תעשיה - קביעת גבולות מגרשים והרחבת כביש</v>
      </c>
      <c r="C328" t="str">
        <v>מקומית</v>
      </c>
      <c r="D328" t="str">
        <v>יואב</v>
      </c>
      <c r="E328" t="str">
        <v>בבדיקת תנאי סף</v>
      </c>
      <c r="F328" t="str">
        <v>לא</v>
      </c>
      <c r="G328" t="str">
        <v>לא</v>
      </c>
      <c r="H328" t="str">
        <v>לא</v>
      </c>
      <c r="I328">
        <f>=HYPERLINK("https://mavat.iplan.gov.il/SV4/1/6071616/310")</f>
      </c>
    </row>
    <row r="329">
      <c r="A329" t="str">
        <v>9/ מק/ 2031</v>
      </c>
      <c r="B329" t="str">
        <v>פולגת</v>
      </c>
      <c r="C329" t="str">
        <v>מקומית</v>
      </c>
      <c r="D329" t="str">
        <v>קרית גת</v>
      </c>
      <c r="E329" t="str">
        <v>בבדיקת תנאי סף</v>
      </c>
      <c r="F329" t="str">
        <v>כן</v>
      </c>
      <c r="G329" t="str">
        <v>כן</v>
      </c>
      <c r="H329" t="str">
        <v>לא</v>
      </c>
      <c r="I329">
        <f>=HYPERLINK("https://mavat.iplan.gov.il/SV4/1/6070750/310")</f>
      </c>
    </row>
    <row r="330">
      <c r="A330" t="str">
        <v>חש/ מק/ 2/ 39</v>
      </c>
      <c r="B330" t="str">
        <v>גני ילדים - בני ציון.</v>
      </c>
      <c r="C330" t="str">
        <v>מקומית</v>
      </c>
      <c r="D330" t="str">
        <v>בני ציון,חוף השרון</v>
      </c>
      <c r="E330" t="str">
        <v>בבדיקת תנאי סף</v>
      </c>
      <c r="F330" t="str">
        <v>לא</v>
      </c>
      <c r="G330" t="str">
        <v>לא</v>
      </c>
      <c r="H330" t="str">
        <v>לא</v>
      </c>
      <c r="I330">
        <f>=HYPERLINK("https://mavat.iplan.gov.il/SV4/1/4100143/310")</f>
      </c>
    </row>
    <row r="331">
      <c r="A331" t="str">
        <v>ענ/ מק/ 937</v>
      </c>
      <c r="B331" t="str">
        <v>חלוקה חדשה בשכונת סטאלין כפר קרע</v>
      </c>
      <c r="C331" t="str">
        <v>מקומית</v>
      </c>
      <c r="D331" t="str">
        <v>כפר קרע,עירון</v>
      </c>
      <c r="E331" t="str">
        <v>בבדיקת תנאי סף</v>
      </c>
      <c r="F331" t="str">
        <v>כן</v>
      </c>
      <c r="G331" t="str">
        <v>לא</v>
      </c>
      <c r="H331" t="str">
        <v>לא</v>
      </c>
      <c r="I331">
        <f>=HYPERLINK("https://mavat.iplan.gov.il/SV4/1/3075705/310")</f>
      </c>
    </row>
    <row r="332">
      <c r="A332" t="str">
        <v>ש/ מק/ 1331</v>
      </c>
      <c r="B332" t="str">
        <v>בי"ס זרעוניה, בנימינה</v>
      </c>
      <c r="C332" t="str">
        <v>מקומית</v>
      </c>
      <c r="D332" t="str">
        <v>בנימינה-גבעת עדה,יישובי הברון</v>
      </c>
      <c r="E332" t="str">
        <v>בבדיקת תנאי סף</v>
      </c>
      <c r="F332" t="str">
        <v>לא</v>
      </c>
      <c r="G332" t="str">
        <v>לא</v>
      </c>
      <c r="H332" t="str">
        <v>לא</v>
      </c>
      <c r="I332">
        <f>=HYPERLINK("https://mavat.iplan.gov.il/SV4/1/3075728/310")</f>
      </c>
    </row>
    <row r="333">
      <c r="A333" t="str">
        <v>12/ מק/ 513</v>
      </c>
      <c r="B333" t="str">
        <v>החלפת שטחים באזור תעשיה ומבני משק קטורה</v>
      </c>
      <c r="C333" t="str">
        <v>מקומית</v>
      </c>
      <c r="D333" t="str">
        <v>חבל אילות,קטורה</v>
      </c>
      <c r="E333" t="str">
        <v>בבדיקת תנאי סף</v>
      </c>
      <c r="F333" t="str">
        <v>לא</v>
      </c>
      <c r="G333" t="str">
        <v>לא</v>
      </c>
      <c r="H333" t="str">
        <v>לא</v>
      </c>
      <c r="I333">
        <f>=HYPERLINK("https://mavat.iplan.gov.il/SV4/1/6071630/310")</f>
      </c>
    </row>
    <row r="334">
      <c r="A334" t="str">
        <v>ממ/ מק/ 2057</v>
      </c>
      <c r="B334" t="str">
        <v>טרומפלדור הבנים.</v>
      </c>
      <c r="C334" t="str">
        <v>מקומית</v>
      </c>
      <c r="D334" t="str">
        <v>בית דגן,מצפה אפק</v>
      </c>
      <c r="E334" t="str">
        <v>בבדיקת תנאי סף</v>
      </c>
      <c r="F334" t="str">
        <v>לא</v>
      </c>
      <c r="G334" t="str">
        <v>לא</v>
      </c>
      <c r="H334" t="str">
        <v>לא</v>
      </c>
      <c r="I334">
        <f>=HYPERLINK("https://mavat.iplan.gov.il/SV4/1/4100695/310")</f>
      </c>
    </row>
    <row r="335">
      <c r="A335" t="str">
        <v>גת/ מק/ 4477/ 1</v>
      </c>
      <c r="B335" t="str">
        <v>החלפת שטחים בנחלה 32, כפר זיתים</v>
      </c>
      <c r="C335" t="str">
        <v>מקומית</v>
      </c>
      <c r="D335" t="str">
        <v>הגליל התחתון,כפר זיתים</v>
      </c>
      <c r="E335" t="str">
        <v>בבדיקת תנאי סף</v>
      </c>
      <c r="F335" t="str">
        <v>לא</v>
      </c>
      <c r="G335" t="str">
        <v>לא</v>
      </c>
      <c r="H335" t="str">
        <v>לא</v>
      </c>
      <c r="I335">
        <f>=HYPERLINK("https://mavat.iplan.gov.il/SV4/1/2124957/310")</f>
      </c>
    </row>
    <row r="336">
      <c r="A336" t="str">
        <v>7/ מק/ 2123</v>
      </c>
      <c r="B336" t="str">
        <v>קיבוץ דורות</v>
      </c>
      <c r="C336" t="str">
        <v>מקומית</v>
      </c>
      <c r="D336" t="str">
        <v>דורות,נגב מערבי,שער הנגב</v>
      </c>
      <c r="E336" t="str">
        <v>בבדיקת תנאי סף</v>
      </c>
      <c r="F336" t="str">
        <v>לא</v>
      </c>
      <c r="G336" t="str">
        <v>לא</v>
      </c>
      <c r="H336" t="str">
        <v>לא</v>
      </c>
      <c r="I336">
        <f>=HYPERLINK("https://mavat.iplan.gov.il/SV4/1/6071481/310")</f>
      </c>
    </row>
    <row r="337">
      <c r="A337" t="str">
        <v>1/ מע/ מק/ 4340/ 47</v>
      </c>
      <c r="B337" t="str">
        <v>שינוי קו בניין , יקנעם עלית</v>
      </c>
      <c r="C337" t="str">
        <v>מקומית</v>
      </c>
      <c r="D337" t="str">
        <v>יקנעם עילית</v>
      </c>
      <c r="E337" t="str">
        <v>בבדיקת תנאי סף</v>
      </c>
      <c r="F337" t="str">
        <v>לא</v>
      </c>
      <c r="G337" t="str">
        <v>לא</v>
      </c>
      <c r="H337" t="str">
        <v>לא</v>
      </c>
      <c r="I337">
        <f>=HYPERLINK("https://mavat.iplan.gov.il/SV4/1/2120877/310")</f>
      </c>
    </row>
    <row r="338">
      <c r="A338" t="str">
        <v>בבכ/ מק/ 6775/ 08/ 26</v>
      </c>
      <c r="B338" t="str">
        <v>איחוד וחלוקה ללא הסכמה והגדלת אזור מבני יבור והרחבת דרכים,</v>
      </c>
      <c r="C338" t="str">
        <v>מקומית</v>
      </c>
      <c r="D338" t="str">
        <v>בקעת בית הכרם,נחף</v>
      </c>
      <c r="E338" t="str">
        <v>בבדיקת תנאי סף</v>
      </c>
      <c r="F338" t="str">
        <v>לא</v>
      </c>
      <c r="G338" t="str">
        <v>לא</v>
      </c>
      <c r="H338" t="str">
        <v>לא</v>
      </c>
      <c r="I338">
        <f>=HYPERLINK("https://mavat.iplan.gov.il/SV4/1/2124838/310")</f>
      </c>
    </row>
    <row r="339">
      <c r="A339" t="str">
        <v>יז/ מק/ 7562/ 02</v>
      </c>
      <c r="B339" t="str">
        <v>שינוי קווי בנין וחלוקה למגרשים, רמת השופט</v>
      </c>
      <c r="C339" t="str">
        <v>מקומית</v>
      </c>
      <c r="D339" t="str">
        <v>יזרעאלים,מגידו,רמת השופט</v>
      </c>
      <c r="E339" t="str">
        <v>בבדיקת תנאי סף</v>
      </c>
      <c r="F339" t="str">
        <v>לא</v>
      </c>
      <c r="G339" t="str">
        <v>לא</v>
      </c>
      <c r="H339" t="str">
        <v>לא</v>
      </c>
      <c r="I339">
        <f>=HYPERLINK("https://mavat.iplan.gov.il/SV4/1/2124842/310")</f>
      </c>
    </row>
    <row r="340">
      <c r="A340" t="str">
        <v>יז/ מק/ 8903/ 02</v>
      </c>
      <c r="B340" t="str">
        <v>אזור תעשייה גבעת עוז</v>
      </c>
      <c r="C340" t="str">
        <v>מקומית</v>
      </c>
      <c r="D340" t="str">
        <v>גבעת עז,יזרעאלים,מגידו</v>
      </c>
      <c r="E340" t="str">
        <v>בבדיקת תנאי סף</v>
      </c>
      <c r="F340" t="str">
        <v>לא</v>
      </c>
      <c r="G340" t="str">
        <v>לא</v>
      </c>
      <c r="H340" t="str">
        <v>לא</v>
      </c>
      <c r="I340">
        <f>=HYPERLINK("https://mavat.iplan.gov.il/SV4/1/2122639/310")</f>
      </c>
    </row>
    <row r="341">
      <c r="A341" t="str">
        <v>צש/ מק/ 4/ 21/ 39</v>
      </c>
      <c r="B341" t="str">
        <v>שינוי קו בנין למבנים חקלאיים.</v>
      </c>
      <c r="C341" t="str">
        <v>מקומית</v>
      </c>
      <c r="D341" t="str">
        <v>כפר הס,לב השרון</v>
      </c>
      <c r="E341" t="str">
        <v>בבדיקת תנאי סף</v>
      </c>
      <c r="F341" t="str">
        <v>לא</v>
      </c>
      <c r="G341" t="str">
        <v>לא</v>
      </c>
      <c r="H341" t="str">
        <v>לא</v>
      </c>
      <c r="I341">
        <f>=HYPERLINK("https://mavat.iplan.gov.il/SV4/1/4098582/310")</f>
      </c>
    </row>
    <row r="342">
      <c r="A342" t="str">
        <v>ממ/ מק/ 4055/ 1</v>
      </c>
      <c r="B342" t="str">
        <v>איחוד וחלוקה בהסכמת הבעלים.</v>
      </c>
      <c r="C342" t="str">
        <v>מקומית</v>
      </c>
      <c r="D342" t="str">
        <v>מצפה אפק,סביון</v>
      </c>
      <c r="E342" t="str">
        <v>בבדיקת תנאי סף</v>
      </c>
      <c r="F342" t="str">
        <v>לא</v>
      </c>
      <c r="G342" t="str">
        <v>כן</v>
      </c>
      <c r="H342" t="str">
        <v>לא</v>
      </c>
      <c r="I342">
        <f>=HYPERLINK("https://mavat.iplan.gov.il/SV4/1/4099925/310")</f>
      </c>
    </row>
    <row r="343">
      <c r="A343" t="str">
        <v>14/ מק/ 1034</v>
      </c>
      <c r="B343" t="str">
        <v>מגרש 300 רחוב דקל 51</v>
      </c>
      <c r="C343" t="str">
        <v>מקומית</v>
      </c>
      <c r="D343" t="str">
        <v>עומר</v>
      </c>
      <c r="E343" t="str">
        <v>בבדיקת תנאי סף</v>
      </c>
      <c r="F343" t="str">
        <v>לא</v>
      </c>
      <c r="G343" t="str">
        <v>כן</v>
      </c>
      <c r="H343" t="str">
        <v>לא</v>
      </c>
      <c r="I343">
        <f>=HYPERLINK("https://mavat.iplan.gov.il/SV4/1/6071446/310")</f>
      </c>
    </row>
    <row r="344">
      <c r="A344" t="str">
        <v>יז/ מק/ 6874/ 12</v>
      </c>
      <c r="B344" t="str">
        <v>כעביה דרום. איחוד וחלוקה ללא הסכמת כל הבעלים בכל תחום התכנית.</v>
      </c>
      <c r="C344" t="str">
        <v>מקומית</v>
      </c>
      <c r="D344" t="str">
        <v>יזרעאלים,כעביה טבאש-חג'אג'</v>
      </c>
      <c r="E344" t="str">
        <v>בבדיקת תנאי סף</v>
      </c>
      <c r="F344" t="str">
        <v>לא</v>
      </c>
      <c r="G344" t="str">
        <v>לא</v>
      </c>
      <c r="H344" t="str">
        <v>לא</v>
      </c>
      <c r="I344">
        <f>=HYPERLINK("https://mavat.iplan.gov.il/SV4/1/2121154/310")</f>
      </c>
    </row>
    <row r="345">
      <c r="A345" t="str">
        <v>22/ מק/ 2054</v>
      </c>
      <c r="B345" t="str">
        <v>הרחבת שטח בית ספר תורת חיים</v>
      </c>
      <c r="C345" t="str">
        <v>מקומית</v>
      </c>
      <c r="D345" t="str">
        <v>נתיבות</v>
      </c>
      <c r="E345" t="str">
        <v>בבדיקת תנאי סף</v>
      </c>
      <c r="F345" t="str">
        <v>לא</v>
      </c>
      <c r="G345" t="str">
        <v>כן</v>
      </c>
      <c r="H345" t="str">
        <v>לא</v>
      </c>
      <c r="I345">
        <f>=HYPERLINK("https://mavat.iplan.gov.il/SV4/1/6071385/310")</f>
      </c>
    </row>
    <row r="346">
      <c r="A346" t="str">
        <v>7/ מק/ 2117</v>
      </c>
      <c r="B346" t="str">
        <v>קיבוץ דביר</v>
      </c>
      <c r="C346" t="str">
        <v>מקומית</v>
      </c>
      <c r="D346" t="str">
        <v>בני שמעון,דבירה</v>
      </c>
      <c r="E346" t="str">
        <v>בבדיקת תנאי סף</v>
      </c>
      <c r="F346" t="str">
        <v>כן</v>
      </c>
      <c r="G346" t="str">
        <v>כן</v>
      </c>
      <c r="H346" t="str">
        <v>לא</v>
      </c>
      <c r="I346">
        <f>=HYPERLINK("https://mavat.iplan.gov.il/SV4/1/6071374/310")</f>
      </c>
    </row>
    <row r="347">
      <c r="A347" t="str">
        <v>28/ מק/ 7</v>
      </c>
      <c r="B347" t="str">
        <v>דריג'את - מוסדות ציבור</v>
      </c>
      <c r="C347" t="str">
        <v>מקומית</v>
      </c>
      <c r="D347" t="str">
        <v>אבו בסמה,אל קסום,דריג'את</v>
      </c>
      <c r="E347" t="str">
        <v>בבדיקת תנאי סף</v>
      </c>
      <c r="F347" t="str">
        <v>לא</v>
      </c>
      <c r="G347" t="str">
        <v>כן</v>
      </c>
      <c r="H347" t="str">
        <v>לא</v>
      </c>
      <c r="I347">
        <f>=HYPERLINK("https://mavat.iplan.gov.il/SV4/1/6071365/310")</f>
      </c>
    </row>
    <row r="348">
      <c r="A348" t="str">
        <v>8/ מק/ 2103</v>
      </c>
      <c r="B348" t="str">
        <v>כפר השעשועים</v>
      </c>
      <c r="C348" t="str">
        <v>מקומית</v>
      </c>
      <c r="D348" t="str">
        <v>באר טוביה</v>
      </c>
      <c r="E348" t="str">
        <v>בבדיקת תנאי סף</v>
      </c>
      <c r="F348" t="str">
        <v>כן</v>
      </c>
      <c r="G348" t="str">
        <v>כן</v>
      </c>
      <c r="H348" t="str">
        <v>לא</v>
      </c>
      <c r="I348">
        <f>=HYPERLINK("https://mavat.iplan.gov.il/SV4/1/6070886/310")</f>
      </c>
    </row>
    <row r="349">
      <c r="A349" t="str">
        <v>2/ מע/ מק/ 4224/ 52</v>
      </c>
      <c r="B349" t="str">
        <v>איחוד וחלוקה ליעודים שינוי קו בנין, רמת ישי</v>
      </c>
      <c r="C349" t="str">
        <v>מקומית</v>
      </c>
      <c r="D349" t="str">
        <v>יקנעם עילית</v>
      </c>
      <c r="E349" t="str">
        <v>בבדיקת תנאי סף</v>
      </c>
      <c r="F349" t="str">
        <v>כן</v>
      </c>
      <c r="G349" t="str">
        <v>כן</v>
      </c>
      <c r="H349" t="str">
        <v>לא</v>
      </c>
      <c r="I349">
        <f>=HYPERLINK("https://mavat.iplan.gov.il/SV4/1/2124446/310")</f>
      </c>
    </row>
    <row r="350">
      <c r="A350" t="str">
        <v>גו/ מק/ 12335/ 01</v>
      </c>
      <c r="B350" t="str">
        <v>איחוד וחלוקה למבני משק, נאות גולן</v>
      </c>
      <c r="C350" t="str">
        <v>מקומית</v>
      </c>
      <c r="D350" t="str">
        <v>גולן,נאות גולן</v>
      </c>
      <c r="E350" t="str">
        <v>בבדיקת תנאי סף</v>
      </c>
      <c r="F350" t="str">
        <v>לא</v>
      </c>
      <c r="G350" t="str">
        <v>לא</v>
      </c>
      <c r="H350" t="str">
        <v>לא</v>
      </c>
      <c r="I350">
        <f>=HYPERLINK("https://mavat.iplan.gov.il/SV4/1/2124428/310")</f>
      </c>
    </row>
    <row r="351">
      <c r="A351" t="str">
        <v>ממ/ מק/ 1492/ 6</v>
      </c>
      <c r="B351" t="str">
        <v>איחוד וחלוקה ללא הסכמת הבעלים בשדרה המרכזית.</v>
      </c>
      <c r="C351" t="str">
        <v>מקומית</v>
      </c>
      <c r="D351" t="str">
        <v>באר יעקב,מצפה אפק</v>
      </c>
      <c r="E351" t="str">
        <v>בבדיקת תנאי סף</v>
      </c>
      <c r="F351" t="str">
        <v>כן</v>
      </c>
      <c r="G351" t="str">
        <v>כן</v>
      </c>
      <c r="H351" t="str">
        <v>לא</v>
      </c>
      <c r="I351">
        <f>=HYPERLINK("https://mavat.iplan.gov.il/SV4/1/4100046/310")</f>
      </c>
    </row>
    <row r="352">
      <c r="A352" t="str">
        <v>מש/ מק/ 7/ 1/ 280</v>
      </c>
      <c r="B352" t="str">
        <v>שינוי מיקום שטחים  ציבוריים ותוואי דרכים.</v>
      </c>
      <c r="C352" t="str">
        <v>מקומית</v>
      </c>
      <c r="D352" t="str">
        <v>מזרח השרון,קלנסווה</v>
      </c>
      <c r="E352" t="str">
        <v>בבדיקת תנאי סף</v>
      </c>
      <c r="F352" t="str">
        <v>לא</v>
      </c>
      <c r="G352" t="str">
        <v>לא</v>
      </c>
      <c r="H352" t="str">
        <v>לא</v>
      </c>
      <c r="I352">
        <f>=HYPERLINK("https://mavat.iplan.gov.il/SV4/1/4100062/310")</f>
      </c>
    </row>
    <row r="353">
      <c r="A353" t="str">
        <v>יז/ מק/ 11826/ 01</v>
      </c>
      <c r="B353" t="str">
        <v>הסדרת מוסדות ציבור, שימשית</v>
      </c>
      <c r="C353" t="str">
        <v>מקומית</v>
      </c>
      <c r="D353" t="str">
        <v>יזרעאלים,עמק יזרעאל,שימשית</v>
      </c>
      <c r="E353" t="str">
        <v>בבדיקת תנאי סף</v>
      </c>
      <c r="F353" t="str">
        <v>לא</v>
      </c>
      <c r="G353" t="str">
        <v>לא</v>
      </c>
      <c r="H353" t="str">
        <v>לא</v>
      </c>
      <c r="I353">
        <f>=HYPERLINK("https://mavat.iplan.gov.il/SV4/1/2124335/310")</f>
      </c>
    </row>
    <row r="354">
      <c r="A354" t="str">
        <v>רצ/ מק/ 1/ 20/ 3</v>
      </c>
      <c r="B354" t="str">
        <v>הרחבת שטח בית עלמין ע"ח חשניה עודפת.</v>
      </c>
      <c r="C354" t="str">
        <v>מקומית</v>
      </c>
      <c r="D354" t="str">
        <v>ראשון לציון</v>
      </c>
      <c r="E354" t="str">
        <v>בבדיקת תנאי סף</v>
      </c>
      <c r="F354" t="str">
        <v>לא</v>
      </c>
      <c r="G354" t="str">
        <v>לא</v>
      </c>
      <c r="H354" t="str">
        <v>לא</v>
      </c>
      <c r="I354">
        <f>=HYPERLINK("https://mavat.iplan.gov.il/SV4/1/4099867/310")</f>
      </c>
    </row>
    <row r="355">
      <c r="A355" t="str">
        <v>28/ מק/ 2</v>
      </c>
      <c r="B355" t="str">
        <v>שינוי בעיצוב וקוי בניין תראבין</v>
      </c>
      <c r="C355" t="str">
        <v>מקומית</v>
      </c>
      <c r="D355" t="str">
        <v>אבו בסמה,תראבין א-צאנע</v>
      </c>
      <c r="E355" t="str">
        <v>בבדיקת תנאי סף</v>
      </c>
      <c r="F355" t="str">
        <v>כן</v>
      </c>
      <c r="G355" t="str">
        <v>כן</v>
      </c>
      <c r="H355" t="str">
        <v>לא</v>
      </c>
      <c r="I355">
        <f>=HYPERLINK("https://mavat.iplan.gov.il/SV4/1/6051677/310")</f>
      </c>
    </row>
    <row r="356">
      <c r="A356" t="str">
        <v>28/ מק/ 5</v>
      </c>
      <c r="B356" t="str">
        <v>בית ספר דריג'את</v>
      </c>
      <c r="C356" t="str">
        <v>מקומית</v>
      </c>
      <c r="D356" t="str">
        <v>אבו בסמה,דריג'את</v>
      </c>
      <c r="E356" t="str">
        <v>בבדיקת תנאי סף</v>
      </c>
      <c r="F356" t="str">
        <v>לא</v>
      </c>
      <c r="G356" t="str">
        <v>כן</v>
      </c>
      <c r="H356" t="str">
        <v>לא</v>
      </c>
      <c r="I356">
        <f>=HYPERLINK("https://mavat.iplan.gov.il/SV4/1/6071205/310")</f>
      </c>
    </row>
    <row r="357">
      <c r="A357" t="str">
        <v>ש/ מק/ 1343</v>
      </c>
      <c r="B357" t="str">
        <v>מלון אמנות זכרון יעקב</v>
      </c>
      <c r="C357" t="str">
        <v>מקומית</v>
      </c>
      <c r="D357" t="str">
        <v>זכרון יעקב,יישובי הברון</v>
      </c>
      <c r="E357" t="str">
        <v>בבדיקת תנאי סף</v>
      </c>
      <c r="F357" t="str">
        <v>לא</v>
      </c>
      <c r="G357" t="str">
        <v>לא</v>
      </c>
      <c r="H357" t="str">
        <v>לא</v>
      </c>
      <c r="I357">
        <f>=HYPERLINK("https://mavat.iplan.gov.il/SV4/1/3075132/310")</f>
      </c>
    </row>
    <row r="358">
      <c r="A358" t="str">
        <v>7/ מק/ 2114</v>
      </c>
      <c r="B358" t="str">
        <v>מגרש 105 - מושב פטיש</v>
      </c>
      <c r="C358" t="str">
        <v>מקומית</v>
      </c>
      <c r="D358" t="str">
        <v>מרחבים,נגב מערבי,פטיש</v>
      </c>
      <c r="E358" t="str">
        <v>בבדיקת תנאי סף</v>
      </c>
      <c r="F358" t="str">
        <v>לא</v>
      </c>
      <c r="G358" t="str">
        <v>כן</v>
      </c>
      <c r="H358" t="str">
        <v>לא</v>
      </c>
      <c r="I358">
        <f>=HYPERLINK("https://mavat.iplan.gov.il/SV4/1/6071220/310")</f>
      </c>
    </row>
    <row r="359">
      <c r="A359" t="str">
        <v>7/ מק/ 2110 א</v>
      </c>
      <c r="B359" t="str">
        <v>קיבוץ סעד</v>
      </c>
      <c r="C359" t="str">
        <v>מקומית</v>
      </c>
      <c r="D359" t="str">
        <v>נגב מערבי,סעד,שדות נגב</v>
      </c>
      <c r="E359" t="str">
        <v>בבדיקת תנאי סף</v>
      </c>
      <c r="F359" t="str">
        <v>לא</v>
      </c>
      <c r="G359" t="str">
        <v>כן</v>
      </c>
      <c r="H359" t="str">
        <v>לא</v>
      </c>
      <c r="I359">
        <f>=HYPERLINK("https://mavat.iplan.gov.il/SV4/1/6071215/310")</f>
      </c>
    </row>
    <row r="360">
      <c r="A360" t="str">
        <v>8/ מק/ 2104</v>
      </c>
      <c r="B360" t="str">
        <v>חילופי שטחים בין קרקע חקלאית לבית עלמית בכפר ורבורג</v>
      </c>
      <c r="C360" t="str">
        <v>מקומית</v>
      </c>
      <c r="D360" t="str">
        <v>באר טוביה,כפר ורבורג</v>
      </c>
      <c r="E360" t="str">
        <v>בבדיקת תנאי סף</v>
      </c>
      <c r="F360" t="str">
        <v>לא</v>
      </c>
      <c r="G360" t="str">
        <v>לא</v>
      </c>
      <c r="H360" t="str">
        <v>לא</v>
      </c>
      <c r="I360">
        <f>=HYPERLINK("https://mavat.iplan.gov.il/SV4/1/6071103/310")</f>
      </c>
    </row>
    <row r="361">
      <c r="A361" t="str">
        <v>22/ מק/ 2053</v>
      </c>
      <c r="B361" t="str">
        <v>מוסדות ציבור גרשונוביץ'</v>
      </c>
      <c r="C361" t="str">
        <v>מקומית</v>
      </c>
      <c r="D361" t="str">
        <v>נתיבות</v>
      </c>
      <c r="E361" t="str">
        <v>בבדיקת תנאי סף</v>
      </c>
      <c r="F361" t="str">
        <v>לא</v>
      </c>
      <c r="G361" t="str">
        <v>לא</v>
      </c>
      <c r="H361" t="str">
        <v>לא</v>
      </c>
      <c r="I361">
        <f>=HYPERLINK("https://mavat.iplan.gov.il/SV4/1/6071117/310")</f>
      </c>
    </row>
    <row r="362">
      <c r="A362" t="str">
        <v>6/ מק/ 2116</v>
      </c>
      <c r="B362" t="str">
        <v>חלקות 85, 2007 בית שקמה</v>
      </c>
      <c r="C362" t="str">
        <v>מקומית</v>
      </c>
      <c r="D362" t="str">
        <v>בית שקמה,חוף אשקלון</v>
      </c>
      <c r="E362" t="str">
        <v>בבדיקת תנאי סף</v>
      </c>
      <c r="F362" t="str">
        <v>לא</v>
      </c>
      <c r="G362" t="str">
        <v>לא</v>
      </c>
      <c r="H362" t="str">
        <v>לא</v>
      </c>
      <c r="I362">
        <f>=HYPERLINK("https://mavat.iplan.gov.il/SV4/1/6071079/310")</f>
      </c>
    </row>
    <row r="363">
      <c r="A363" t="str">
        <v>מג/ מק/ 2007/ 37</v>
      </c>
      <c r="B363" t="str">
        <v>איחחוד וחלוקה מגרש 102, ללא הסכמה , מ. ת. מגדל תפן</v>
      </c>
      <c r="C363" t="str">
        <v>מקומית</v>
      </c>
      <c r="D363" t="str">
        <v>מגדל תפן,מעלה הגליל</v>
      </c>
      <c r="E363" t="str">
        <v>בבדיקת תנאי סף</v>
      </c>
      <c r="F363" t="str">
        <v>כן</v>
      </c>
      <c r="G363" t="str">
        <v>כן</v>
      </c>
      <c r="H363" t="str">
        <v>לא</v>
      </c>
      <c r="I363">
        <f>=HYPERLINK("https://mavat.iplan.gov.il/SV4/1/2123739/310")</f>
      </c>
    </row>
    <row r="364">
      <c r="A364" t="str">
        <v>ענ/ מק/ 990</v>
      </c>
      <c r="B364" t="str">
        <v>חלוקה חדשה באלדרדס באקה</v>
      </c>
      <c r="C364" t="str">
        <v>מקומית</v>
      </c>
      <c r="D364" t="str">
        <v>באקה אל ג'רביה,באקה אל גרבייה,עירון</v>
      </c>
      <c r="E364" t="str">
        <v>בבדיקת תנאי סף</v>
      </c>
      <c r="F364" t="str">
        <v>לא</v>
      </c>
      <c r="G364" t="str">
        <v>לא</v>
      </c>
      <c r="H364" t="str">
        <v>לא</v>
      </c>
      <c r="I364">
        <f>=HYPERLINK("https://mavat.iplan.gov.il/SV4/1/3074918/310")</f>
      </c>
    </row>
    <row r="365">
      <c r="A365" t="str">
        <v>מק/ 3845/ ב</v>
      </c>
      <c r="B365" t="str">
        <v>תיקון טעות סופר בהוראות הרישום בטבלת החלקות , שכונת מורשה</v>
      </c>
      <c r="C365" t="str">
        <v>מקומית</v>
      </c>
      <c r="D365" t="str">
        <v>ירושלים</v>
      </c>
      <c r="E365" t="str">
        <v>בבדיקת תנאי סף</v>
      </c>
      <c r="F365" t="str">
        <v>לא</v>
      </c>
      <c r="G365" t="str">
        <v>לא</v>
      </c>
      <c r="H365" t="str">
        <v>לא</v>
      </c>
      <c r="I365">
        <f>=HYPERLINK("https://mavat.iplan.gov.il/SV4/1/1076580/310")</f>
      </c>
    </row>
    <row r="366">
      <c r="A366" t="str">
        <v>6/ מק/ 2086</v>
      </c>
      <c r="B366" t="str">
        <v>מושב תלמי יפה</v>
      </c>
      <c r="C366" t="str">
        <v>מקומית</v>
      </c>
      <c r="D366" t="str">
        <v>חוף אשקלון,תלמי יפה</v>
      </c>
      <c r="E366" t="str">
        <v>בבדיקת תנאי סף</v>
      </c>
      <c r="F366" t="str">
        <v>לא</v>
      </c>
      <c r="G366" t="str">
        <v>לא</v>
      </c>
      <c r="H366" t="str">
        <v>לא</v>
      </c>
      <c r="I366">
        <f>=HYPERLINK("https://mavat.iplan.gov.il/SV4/1/6050133/310")</f>
      </c>
      <c r="J366" t="str">
        <v>20080630</v>
      </c>
    </row>
    <row r="367">
      <c r="A367" t="str">
        <v>הצ/ מק/ 1/ 1/ 427</v>
      </c>
      <c r="B367" t="str">
        <v>חילופי שטחים לבית ספר.</v>
      </c>
      <c r="C367" t="str">
        <v>מקומית</v>
      </c>
      <c r="D367" t="str">
        <v>אבן יהודה,שרונים</v>
      </c>
      <c r="E367" t="str">
        <v>בבדיקת תנאי סף</v>
      </c>
      <c r="F367" t="str">
        <v>לא</v>
      </c>
      <c r="G367" t="str">
        <v>לא</v>
      </c>
      <c r="H367" t="str">
        <v>לא</v>
      </c>
      <c r="I367">
        <f>=HYPERLINK("https://mavat.iplan.gov.il/SV4/1/4099083/310")</f>
      </c>
    </row>
    <row r="368">
      <c r="A368" t="str">
        <v>גו/ מק/ 8730/ 01</v>
      </c>
      <c r="B368" t="str">
        <v>איחוד וחלוקה מחדש, מקטע מס' 1 , תמ"א 13 - כורסי דרום</v>
      </c>
      <c r="C368" t="str">
        <v>מקומית</v>
      </c>
      <c r="D368" t="str">
        <v>גולן</v>
      </c>
      <c r="E368" t="str">
        <v>בבדיקת תנאי סף</v>
      </c>
      <c r="F368" t="str">
        <v>כן</v>
      </c>
      <c r="G368" t="str">
        <v>כן</v>
      </c>
      <c r="H368" t="str">
        <v>לא</v>
      </c>
      <c r="I368">
        <f>=HYPERLINK("https://mavat.iplan.gov.il/SV4/1/2123533/310")</f>
      </c>
    </row>
    <row r="369">
      <c r="A369" t="str">
        <v>ענ/ מק/ 992</v>
      </c>
      <c r="B369" t="str">
        <v>חלוקה חדשה בעין אברהים</v>
      </c>
      <c r="C369" t="str">
        <v>מקומית</v>
      </c>
      <c r="D369" t="str">
        <v>אום אל-פחם,עירון</v>
      </c>
      <c r="E369" t="str">
        <v>בבדיקת תנאי סף</v>
      </c>
      <c r="F369" t="str">
        <v>לא</v>
      </c>
      <c r="G369" t="str">
        <v>לא</v>
      </c>
      <c r="H369" t="str">
        <v>לא</v>
      </c>
      <c r="I369">
        <f>=HYPERLINK("https://mavat.iplan.gov.il/SV4/1/3074753/310")</f>
      </c>
    </row>
    <row r="370">
      <c r="A370" t="str">
        <v>חא/ מק/ 2007/ 27</v>
      </c>
      <c r="B370" t="str">
        <v>איחוד וחלוקה בהסכמה באאזור ההרחבה הקהילתית, מצובה</v>
      </c>
      <c r="C370" t="str">
        <v>מקומית</v>
      </c>
      <c r="D370" t="str">
        <v>חבל אשר,מטה אשר,מצובה</v>
      </c>
      <c r="E370" t="str">
        <v>בבדיקת תנאי סף</v>
      </c>
      <c r="F370" t="str">
        <v>כן</v>
      </c>
      <c r="G370" t="str">
        <v>כן</v>
      </c>
      <c r="H370" t="str">
        <v>לא</v>
      </c>
      <c r="I370">
        <f>=HYPERLINK("https://mavat.iplan.gov.il/SV4/1/2123434/310")</f>
      </c>
    </row>
    <row r="371">
      <c r="A371" t="str">
        <v>12/ מק/ 509</v>
      </c>
      <c r="B371" t="str">
        <v>הרחבת קיבוץ אליפז</v>
      </c>
      <c r="C371" t="str">
        <v>מקומית</v>
      </c>
      <c r="D371" t="str">
        <v>אליפז,חבל אילות</v>
      </c>
      <c r="E371" t="str">
        <v>בבדיקת תנאי סף</v>
      </c>
      <c r="F371" t="str">
        <v>לא</v>
      </c>
      <c r="G371" t="str">
        <v>לא</v>
      </c>
      <c r="H371" t="str">
        <v>לא</v>
      </c>
      <c r="I371">
        <f>=HYPERLINK("https://mavat.iplan.gov.il/SV4/1/6070807/310")</f>
      </c>
    </row>
    <row r="372">
      <c r="A372" t="str">
        <v>שה/ מק/ 20</v>
      </c>
      <c r="B372" t="str">
        <v>החלפת שטחים, איחוד וחלוקה של מגרשים .</v>
      </c>
      <c r="C372" t="str">
        <v>מקומית</v>
      </c>
      <c r="D372" t="str">
        <v>שהם</v>
      </c>
      <c r="E372" t="str">
        <v>בבדיקת תנאי סף</v>
      </c>
      <c r="F372" t="str">
        <v>לא</v>
      </c>
      <c r="G372" t="str">
        <v>לא</v>
      </c>
      <c r="H372" t="str">
        <v>לא</v>
      </c>
      <c r="I372">
        <f>=HYPERLINK("https://mavat.iplan.gov.il/SV4/1/4098585/310")</f>
      </c>
    </row>
    <row r="373">
      <c r="A373" t="str">
        <v>12/ מק/ 508</v>
      </c>
      <c r="B373" t="str">
        <v>באר אורה</v>
      </c>
      <c r="C373" t="str">
        <v>מקומית</v>
      </c>
      <c r="D373" t="str">
        <v>באר אורה,חבל אילות</v>
      </c>
      <c r="E373" t="str">
        <v>בבדיקת תנאי סף</v>
      </c>
      <c r="F373" t="str">
        <v>לא</v>
      </c>
      <c r="G373" t="str">
        <v>לא</v>
      </c>
      <c r="H373" t="str">
        <v>לא</v>
      </c>
      <c r="I373">
        <f>=HYPERLINK("https://mavat.iplan.gov.il/SV4/1/6070712/310")</f>
      </c>
    </row>
    <row r="374">
      <c r="A374" t="str">
        <v>25/ מק/ 1045</v>
      </c>
      <c r="B374" t="str">
        <v>מגרש 2/2 אזור תעשיה דימונה</v>
      </c>
      <c r="C374" t="str">
        <v>מקומית</v>
      </c>
      <c r="D374" t="str">
        <v>דימונה</v>
      </c>
      <c r="E374" t="str">
        <v>בבדיקת תנאי סף</v>
      </c>
      <c r="F374" t="str">
        <v>לא</v>
      </c>
      <c r="G374" t="str">
        <v>לא</v>
      </c>
      <c r="H374" t="str">
        <v>לא</v>
      </c>
      <c r="I374">
        <f>=HYPERLINK("https://mavat.iplan.gov.il/SV4/1/6070301/310")</f>
      </c>
    </row>
    <row r="375">
      <c r="A375" t="str">
        <v>עה/ מק/ 11808/ 004</v>
      </c>
      <c r="B375" t="str">
        <v>איחוד וחלוקה בהסכמה צל תמר , אשדות יעקב</v>
      </c>
      <c r="C375" t="str">
        <v>מקומית</v>
      </c>
      <c r="D375" t="str">
        <v>אשדות יעקב (אחוד),עמק הירדן</v>
      </c>
      <c r="E375" t="str">
        <v>בבדיקת תנאי סף</v>
      </c>
      <c r="F375" t="str">
        <v>כן</v>
      </c>
      <c r="G375" t="str">
        <v>כן</v>
      </c>
      <c r="H375" t="str">
        <v>לא</v>
      </c>
      <c r="I375">
        <f>=HYPERLINK("https://mavat.iplan.gov.il/SV4/1/2122062/310")</f>
      </c>
    </row>
    <row r="376">
      <c r="A376" t="str">
        <v>נת/ מק/ 750/ 6/ 2</v>
      </c>
      <c r="B376" t="str">
        <v>שינוי לבינוי בבנין מעונות-המכללה האקדמית נתניה.</v>
      </c>
      <c r="C376" t="str">
        <v>מקומית</v>
      </c>
      <c r="D376" t="str">
        <v>נתניה</v>
      </c>
      <c r="E376" t="str">
        <v>בבדיקת תנאי סף</v>
      </c>
      <c r="F376" t="str">
        <v>לא</v>
      </c>
      <c r="G376" t="str">
        <v>לא</v>
      </c>
      <c r="H376" t="str">
        <v>לא</v>
      </c>
      <c r="I376">
        <f>=HYPERLINK("https://mavat.iplan.gov.il/SV4/1/4098278/310")</f>
      </c>
    </row>
    <row r="377">
      <c r="A377" t="str">
        <v>צש/ מק/ 6/ 21/ 10</v>
      </c>
      <c r="B377" t="str">
        <v>חילופי שטחים בין אזור חקלאי למגורים במשמרת.</v>
      </c>
      <c r="C377" t="str">
        <v>מקומית</v>
      </c>
      <c r="D377" t="str">
        <v>לב השרון,משמרת</v>
      </c>
      <c r="E377" t="str">
        <v>בבדיקת תנאי סף</v>
      </c>
      <c r="F377" t="str">
        <v>לא</v>
      </c>
      <c r="G377" t="str">
        <v>לא</v>
      </c>
      <c r="H377" t="str">
        <v>לא</v>
      </c>
      <c r="I377">
        <f>=HYPERLINK("https://mavat.iplan.gov.il/SV4/1/4098167/310")</f>
      </c>
    </row>
    <row r="378">
      <c r="A378" t="str">
        <v>בבש/ מק/ 15</v>
      </c>
      <c r="B378" t="str">
        <v>איחוד וחלוקה בשטח תעשייה , מעוז חיים</v>
      </c>
      <c r="C378" t="str">
        <v>מקומית</v>
      </c>
      <c r="D378" t="str">
        <v>מעוז חיים,עמק המעיינות</v>
      </c>
      <c r="E378" t="str">
        <v>בבדיקת תנאי סף</v>
      </c>
      <c r="F378" t="str">
        <v>לא</v>
      </c>
      <c r="G378" t="str">
        <v>לא</v>
      </c>
      <c r="H378" t="str">
        <v>לא</v>
      </c>
      <c r="I378">
        <f>=HYPERLINK("https://mavat.iplan.gov.il/SV4/1/2122776/310")</f>
      </c>
    </row>
    <row r="379">
      <c r="A379" t="str">
        <v>30/ מק/ 3020</v>
      </c>
      <c r="B379" t="str">
        <v>הקמת שכונת מגורים מרכז ספיר - ערבה</v>
      </c>
      <c r="C379" t="str">
        <v>מקומית</v>
      </c>
      <c r="D379" t="str">
        <v>הערבה התיכונה</v>
      </c>
      <c r="E379" t="str">
        <v>בבדיקת תנאי סף</v>
      </c>
      <c r="F379" t="str">
        <v>לא</v>
      </c>
      <c r="G379" t="str">
        <v>כן</v>
      </c>
      <c r="H379" t="str">
        <v>לא</v>
      </c>
      <c r="I379">
        <f>=HYPERLINK("https://mavat.iplan.gov.il/SV4/1/6049633/310")</f>
      </c>
    </row>
    <row r="380">
      <c r="A380" t="str">
        <v>ג/ גל/ מק/ 92</v>
      </c>
      <c r="B380" t="str">
        <v>שינוי קו בניין - מפעל ריקור , עין חרוד איחוד</v>
      </c>
      <c r="C380" t="str">
        <v>מקומית</v>
      </c>
      <c r="D380" t="str">
        <v>הגילבוע,הגלבוע,עין חרוד (אחוד)</v>
      </c>
      <c r="E380" t="str">
        <v>בבדיקת תנאי סף</v>
      </c>
      <c r="F380" t="str">
        <v>לא</v>
      </c>
      <c r="G380" t="str">
        <v>לא</v>
      </c>
      <c r="H380" t="str">
        <v>לא</v>
      </c>
      <c r="I380">
        <f>=HYPERLINK("https://mavat.iplan.gov.il/SV4/1/2122104/310")</f>
      </c>
    </row>
    <row r="381">
      <c r="A381" t="str">
        <v>7/ מק/ 2057</v>
      </c>
      <c r="B381" t="str">
        <v>קיבוץ רוחמה</v>
      </c>
      <c r="C381" t="str">
        <v>מקומית</v>
      </c>
      <c r="D381" t="str">
        <v>נגב מערבי,רוחמה,שער הנגב</v>
      </c>
      <c r="E381" t="str">
        <v>בבדיקת תנאי סף</v>
      </c>
      <c r="F381" t="str">
        <v>כן</v>
      </c>
      <c r="G381" t="str">
        <v>כן</v>
      </c>
      <c r="H381" t="str">
        <v>לא</v>
      </c>
      <c r="I381">
        <f>=HYPERLINK("https://mavat.iplan.gov.il/SV4/1/6049028/310")</f>
      </c>
    </row>
    <row r="382">
      <c r="A382" t="str">
        <v>יז/ מק/ 5193/ 01</v>
      </c>
      <c r="B382" t="str">
        <v>מוסד בריאות , קיבוץ מזרע</v>
      </c>
      <c r="C382" t="str">
        <v>מקומית</v>
      </c>
      <c r="D382" t="str">
        <v>יזרעאלים,מזרע,עמק יזרעאל</v>
      </c>
      <c r="E382" t="str">
        <v>בבדיקת תנאי סף</v>
      </c>
      <c r="F382" t="str">
        <v>לא</v>
      </c>
      <c r="G382" t="str">
        <v>לא</v>
      </c>
      <c r="H382" t="str">
        <v>לא</v>
      </c>
      <c r="I382">
        <f>=HYPERLINK("https://mavat.iplan.gov.il/SV4/1/2122580/310")</f>
      </c>
    </row>
    <row r="383">
      <c r="A383" t="str">
        <v>3/ מק/ 2163</v>
      </c>
      <c r="B383" t="str">
        <v>אזור בקמה אשדוד</v>
      </c>
      <c r="C383" t="str">
        <v>מקומית</v>
      </c>
      <c r="D383" t="str">
        <v>אשדוד</v>
      </c>
      <c r="E383" t="str">
        <v>בבדיקת תנאי סף</v>
      </c>
      <c r="F383" t="str">
        <v>כן</v>
      </c>
      <c r="G383" t="str">
        <v>כן</v>
      </c>
      <c r="H383" t="str">
        <v>לא</v>
      </c>
      <c r="I383">
        <f>=HYPERLINK("https://mavat.iplan.gov.il/SV4/1/6052030/310")</f>
      </c>
    </row>
    <row r="384">
      <c r="A384" t="str">
        <v>גו/ מק/ 11925</v>
      </c>
      <c r="B384" t="str">
        <v>איחוד וחלוקה - אזור תעסוקה (מבני משק, שרותים ואחסנה, תעשייה), קבוץ גשור</v>
      </c>
      <c r="C384" t="str">
        <v>מקומית</v>
      </c>
      <c r="D384" t="str">
        <v>גולן,גשור</v>
      </c>
      <c r="E384" t="str">
        <v>בבדיקת תנאי סף</v>
      </c>
      <c r="F384" t="str">
        <v>לא</v>
      </c>
      <c r="G384" t="str">
        <v>לא</v>
      </c>
      <c r="H384" t="str">
        <v>לא</v>
      </c>
      <c r="I384">
        <f>=HYPERLINK("https://mavat.iplan.gov.il/SV4/1/2122413/310")</f>
      </c>
    </row>
    <row r="385">
      <c r="A385" t="str">
        <v>8/ מק/ 2087</v>
      </c>
      <c r="B385" t="str">
        <v>אחוזת טל</v>
      </c>
      <c r="C385" t="str">
        <v>מקומית</v>
      </c>
      <c r="D385" t="str">
        <v>באר טוביה</v>
      </c>
      <c r="E385" t="str">
        <v>בבדיקת תנאי סף</v>
      </c>
      <c r="F385" t="str">
        <v>כן</v>
      </c>
      <c r="G385" t="str">
        <v>כן</v>
      </c>
      <c r="H385" t="str">
        <v>לא</v>
      </c>
      <c r="I385">
        <f>=HYPERLINK("https://mavat.iplan.gov.il/SV4/1/6050267/310")</f>
      </c>
    </row>
    <row r="386">
      <c r="A386" t="str">
        <v>גע/ מק/ 146</v>
      </c>
      <c r="B386" t="str">
        <v>איחוד וחלוקת מגרשים - קיבוץ גדות</v>
      </c>
      <c r="C386" t="str">
        <v>מקומית</v>
      </c>
      <c r="D386" t="str">
        <v>גדות,הגליל העליון</v>
      </c>
      <c r="E386" t="str">
        <v>בבדיקת תנאי סף</v>
      </c>
      <c r="F386" t="str">
        <v>לא</v>
      </c>
      <c r="G386" t="str">
        <v>לא</v>
      </c>
      <c r="H386" t="str">
        <v>לא</v>
      </c>
      <c r="I386">
        <f>=HYPERLINK("https://mavat.iplan.gov.il/SV4/1/2120875/310")</f>
      </c>
    </row>
    <row r="387">
      <c r="A387" t="str">
        <v>גע/ מק/ 160</v>
      </c>
      <c r="B387" t="str">
        <v>שינוי בהוראות תכנית ג/ 12818 , בדבר עיצוב ארכיטקטוני , נאות מרדכי</v>
      </c>
      <c r="C387" t="str">
        <v>מקומית</v>
      </c>
      <c r="D387" t="str">
        <v>הגליל העליון,נאות מרדכי</v>
      </c>
      <c r="E387" t="str">
        <v>בבדיקת תנאי סף</v>
      </c>
      <c r="F387" t="str">
        <v>לא</v>
      </c>
      <c r="G387" t="str">
        <v>לא</v>
      </c>
      <c r="H387" t="str">
        <v>לא</v>
      </c>
      <c r="I387">
        <f>=HYPERLINK("https://mavat.iplan.gov.il/SV4/1/2122439/310")</f>
      </c>
    </row>
    <row r="388">
      <c r="A388" t="str">
        <v>20/ מק/ 3009</v>
      </c>
      <c r="B388" t="str">
        <v>אזור תעשיה רמת נגב</v>
      </c>
      <c r="C388" t="str">
        <v>מקומית</v>
      </c>
      <c r="D388" t="str">
        <v>להבים,רמת נגב</v>
      </c>
      <c r="E388" t="str">
        <v>בבדיקת תנאי סף</v>
      </c>
      <c r="F388" t="str">
        <v>לא</v>
      </c>
      <c r="G388" t="str">
        <v>כן</v>
      </c>
      <c r="H388" t="str">
        <v>לא</v>
      </c>
      <c r="I388">
        <f>=HYPERLINK("https://mavat.iplan.gov.il/SV4/1/6050655/310")</f>
      </c>
    </row>
    <row r="389">
      <c r="A389" t="str">
        <v>12/ מק/ 510</v>
      </c>
      <c r="B389" t="str">
        <v>בנה ביתך - באר אורה</v>
      </c>
      <c r="C389" t="str">
        <v>מקומית</v>
      </c>
      <c r="D389" t="str">
        <v>באר אורה,חבל אילות</v>
      </c>
      <c r="E389" t="str">
        <v>בבדיקת תנאי סף</v>
      </c>
      <c r="F389" t="str">
        <v>לא</v>
      </c>
      <c r="G389" t="str">
        <v>לא</v>
      </c>
      <c r="H389" t="str">
        <v>לא</v>
      </c>
      <c r="I389">
        <f>=HYPERLINK("https://mavat.iplan.gov.il/SV4/1/6070347/310")</f>
      </c>
    </row>
    <row r="390">
      <c r="A390" t="str">
        <v>ענ/ מק/ 815</v>
      </c>
      <c r="B390" t="str">
        <v>חלוקה חדשה ללא הסכמת הבעלים אום אל פחם</v>
      </c>
      <c r="C390" t="str">
        <v>מקומית</v>
      </c>
      <c r="D390" t="str">
        <v>אום אל-פחם,עירון</v>
      </c>
      <c r="E390" t="str">
        <v>בבדיקת תנאי סף</v>
      </c>
      <c r="F390" t="str">
        <v>לא</v>
      </c>
      <c r="G390" t="str">
        <v>לא</v>
      </c>
      <c r="H390" t="str">
        <v>לא</v>
      </c>
      <c r="I390">
        <f>=HYPERLINK("https://mavat.iplan.gov.il/SV4/1/3073920/310")</f>
      </c>
    </row>
    <row r="391">
      <c r="A391" t="str">
        <v>10/ מק/ 1025</v>
      </c>
      <c r="B391" t="str">
        <v>מלון צל הרים בעין בוקק</v>
      </c>
      <c r="C391" t="str">
        <v>מקומית</v>
      </c>
      <c r="D391" t="str">
        <v>תמר</v>
      </c>
      <c r="E391" t="str">
        <v>בבדיקת תנאי סף</v>
      </c>
      <c r="F391" t="str">
        <v>לא</v>
      </c>
      <c r="G391" t="str">
        <v>לא</v>
      </c>
      <c r="H391" t="str">
        <v>לא</v>
      </c>
      <c r="I391">
        <f>=HYPERLINK("https://mavat.iplan.gov.il/SV4/1/6070252/310")</f>
      </c>
    </row>
    <row r="392">
      <c r="A392" t="str">
        <v>חש/ מק/ 10/ 2/ 3/ 1</v>
      </c>
      <c r="B392" t="str">
        <v>שינוי לתכנית מתאר חש/ 10/ 2 - תיקון כביש 561.</v>
      </c>
      <c r="C392" t="str">
        <v>מקומית</v>
      </c>
      <c r="D392" t="str">
        <v>חוף השרון</v>
      </c>
      <c r="E392" t="str">
        <v>בבדיקת תנאי סף</v>
      </c>
      <c r="F392" t="str">
        <v>לא</v>
      </c>
      <c r="G392" t="str">
        <v>לא</v>
      </c>
      <c r="H392" t="str">
        <v>לא</v>
      </c>
      <c r="I392">
        <f>=HYPERLINK("https://mavat.iplan.gov.il/SV4/1/4095835/310")</f>
      </c>
    </row>
    <row r="393">
      <c r="A393" t="str">
        <v>7/ מק/ 2086/ א</v>
      </c>
      <c r="B393" t="str">
        <v>מושב אשבול</v>
      </c>
      <c r="C393" t="str">
        <v>מקומית</v>
      </c>
      <c r="D393" t="str">
        <v>אשבול,מרחבים,נגב מערבי</v>
      </c>
      <c r="E393" t="str">
        <v>בבדיקת תנאי סף</v>
      </c>
      <c r="F393" t="str">
        <v>כן</v>
      </c>
      <c r="G393" t="str">
        <v>כן</v>
      </c>
      <c r="H393" t="str">
        <v>לא</v>
      </c>
      <c r="I393">
        <f>=HYPERLINK("https://mavat.iplan.gov.il/SV4/1/6051837/310")</f>
      </c>
    </row>
    <row r="394">
      <c r="A394" t="str">
        <v>מד/ מק/ 20/ 2</v>
      </c>
      <c r="B394" t="str">
        <v>הגדלת התכסית המותרת במגרשים 125,126 באזור המלאכה מודיעין.</v>
      </c>
      <c r="C394" t="str">
        <v>מקומית</v>
      </c>
      <c r="D394" t="str">
        <v>מודיעין-מכבים-רעות</v>
      </c>
      <c r="E394" t="str">
        <v>בבדיקת תנאי סף</v>
      </c>
      <c r="F394" t="str">
        <v>לא</v>
      </c>
      <c r="G394" t="str">
        <v>לא</v>
      </c>
      <c r="H394" t="str">
        <v>לא</v>
      </c>
      <c r="I394">
        <f>=HYPERLINK("https://mavat.iplan.gov.il/SV4/1/4097148/310")</f>
      </c>
    </row>
    <row r="395">
      <c r="A395" t="str">
        <v>20/ מק/ 3027</v>
      </c>
      <c r="B395" t="str">
        <v>קביעת זכויות ומגבלות בניה - קיבוץ טללים</v>
      </c>
      <c r="C395" t="str">
        <v>מקומית</v>
      </c>
      <c r="E395" t="str">
        <v>בבדיקת תנאי סף</v>
      </c>
      <c r="F395" t="str">
        <v>לא</v>
      </c>
      <c r="G395" t="str">
        <v>לא</v>
      </c>
      <c r="H395" t="str">
        <v>לא</v>
      </c>
      <c r="I395">
        <f>=HYPERLINK("https://mavat.iplan.gov.il/SV4/1/6070279/310")</f>
      </c>
    </row>
    <row r="396">
      <c r="A396" t="str">
        <v>21/ מק/ 2036</v>
      </c>
      <c r="B396" t="str">
        <v>סיון תעשיות פלסטיק שדרות</v>
      </c>
      <c r="C396" t="str">
        <v>מקומית</v>
      </c>
      <c r="D396" t="str">
        <v>שדרות</v>
      </c>
      <c r="E396" t="str">
        <v>בבדיקת תנאי סף</v>
      </c>
      <c r="F396" t="str">
        <v>לא</v>
      </c>
      <c r="G396" t="str">
        <v>לא</v>
      </c>
      <c r="H396" t="str">
        <v>לא</v>
      </c>
      <c r="I396">
        <f>=HYPERLINK("https://mavat.iplan.gov.il/SV4/1/6070278/310")</f>
      </c>
    </row>
    <row r="397">
      <c r="A397" t="str">
        <v>20/ מק/ 3026</v>
      </c>
      <c r="B397" t="str">
        <v>מלון שדה בוקר</v>
      </c>
      <c r="C397" t="str">
        <v>מקומית</v>
      </c>
      <c r="D397" t="str">
        <v>להבים,רמת נגב,שדה בוקר</v>
      </c>
      <c r="E397" t="str">
        <v>בבדיקת תנאי סף</v>
      </c>
      <c r="F397" t="str">
        <v>כן</v>
      </c>
      <c r="G397" t="str">
        <v>כן</v>
      </c>
      <c r="H397" t="str">
        <v>לא</v>
      </c>
      <c r="I397">
        <f>=HYPERLINK("https://mavat.iplan.gov.il/SV4/1/6070253/310")</f>
      </c>
    </row>
    <row r="398">
      <c r="A398" t="str">
        <v>בבש/ מק/ 6074</v>
      </c>
      <c r="B398" t="str">
        <v>החלפת קרקעות חקלאי למגורים ולהיפך , עין הנציב</v>
      </c>
      <c r="C398" t="str">
        <v>מקומית</v>
      </c>
      <c r="D398" t="str">
        <v>עין הנצי"ב,עמק המעיינות</v>
      </c>
      <c r="E398" t="str">
        <v>בבדיקת תנאי סף</v>
      </c>
      <c r="F398" t="str">
        <v>לא</v>
      </c>
      <c r="G398" t="str">
        <v>לא</v>
      </c>
      <c r="H398" t="str">
        <v>לא</v>
      </c>
      <c r="I398">
        <f>=HYPERLINK("https://mavat.iplan.gov.il/SV4/1/2121983/310")</f>
      </c>
    </row>
    <row r="399">
      <c r="A399" t="str">
        <v>7/ מק/ 2071</v>
      </c>
      <c r="B399" t="str">
        <v>מושב תפרח - אזור מתחם הישיבה</v>
      </c>
      <c r="C399" t="str">
        <v>מקומית</v>
      </c>
      <c r="D399" t="str">
        <v>מרחבים,נגב מערבי,תפרח</v>
      </c>
      <c r="E399" t="str">
        <v>בבדיקת תנאי סף</v>
      </c>
      <c r="F399" t="str">
        <v>כן</v>
      </c>
      <c r="G399" t="str">
        <v>כן</v>
      </c>
      <c r="H399" t="str">
        <v>לא</v>
      </c>
      <c r="I399">
        <f>=HYPERLINK("https://mavat.iplan.gov.il/SV4/1/6050355/310")</f>
      </c>
    </row>
    <row r="400">
      <c r="A400" t="str">
        <v>8/ מק/ 2099</v>
      </c>
      <c r="B400" t="str">
        <v>איחוד וחלוקה - אדמה חקלאית פרטית ליד מושב ביצרון</v>
      </c>
      <c r="C400" t="str">
        <v>מקומית</v>
      </c>
      <c r="D400" t="str">
        <v>באר טוביה</v>
      </c>
      <c r="E400" t="str">
        <v>בבדיקת תנאי סף</v>
      </c>
      <c r="F400" t="str">
        <v>לא</v>
      </c>
      <c r="G400" t="str">
        <v>לא</v>
      </c>
      <c r="H400" t="str">
        <v>לא</v>
      </c>
      <c r="I400">
        <f>=HYPERLINK("https://mavat.iplan.gov.il/SV4/1/6070177/310")</f>
      </c>
    </row>
    <row r="401">
      <c r="A401" t="str">
        <v>גז/ מק/ 566/ 16</v>
      </c>
      <c r="B401" t="str">
        <v>הבהרה להוראה בסעיף 11.7 בתכנית גז/ מק/ 566/ 1.</v>
      </c>
      <c r="C401" t="str">
        <v>מקומית</v>
      </c>
      <c r="D401" t="str">
        <v>חבל מודיעין</v>
      </c>
      <c r="E401" t="str">
        <v>בבדיקת תנאי סף</v>
      </c>
      <c r="F401" t="str">
        <v>לא</v>
      </c>
      <c r="G401" t="str">
        <v>לא</v>
      </c>
      <c r="H401" t="str">
        <v>לא</v>
      </c>
      <c r="I401">
        <f>=HYPERLINK("https://mavat.iplan.gov.il/SV4/1/4096159/310")</f>
      </c>
    </row>
    <row r="402">
      <c r="A402" t="str">
        <v>30/ מק/ 3021</v>
      </c>
      <c r="B402" t="str">
        <v>מכון לטיפול בשפכים "עין יהב" - ערבה תיכונה</v>
      </c>
      <c r="C402" t="str">
        <v>מקומית</v>
      </c>
      <c r="D402" t="str">
        <v>הערבה התיכונה</v>
      </c>
      <c r="E402" t="str">
        <v>בבדיקת תנאי סף</v>
      </c>
      <c r="F402" t="str">
        <v>לא</v>
      </c>
      <c r="G402" t="str">
        <v>לא</v>
      </c>
      <c r="H402" t="str">
        <v>לא</v>
      </c>
      <c r="I402">
        <f>=HYPERLINK("https://mavat.iplan.gov.il/SV4/1/6049634/310")</f>
      </c>
    </row>
    <row r="403">
      <c r="A403" t="str">
        <v>גז/ מק/ 4/ 17</v>
      </c>
      <c r="B403" t="str">
        <v>שינוי לסעיף "מיקום מבנה למגורים לא יעלה על 50מ' מגבול הדרך".</v>
      </c>
      <c r="C403" t="str">
        <v>מקומית</v>
      </c>
      <c r="D403" t="str">
        <v>גזר,סתריה</v>
      </c>
      <c r="E403" t="str">
        <v>בבדיקת תנאי סף</v>
      </c>
      <c r="F403" t="str">
        <v>לא</v>
      </c>
      <c r="G403" t="str">
        <v>לא</v>
      </c>
      <c r="H403" t="str">
        <v>לא</v>
      </c>
      <c r="I403">
        <f>=HYPERLINK("https://mavat.iplan.gov.il/SV4/1/4096735/310")</f>
      </c>
    </row>
    <row r="404">
      <c r="A404" t="str">
        <v>לה/ מק/ 1000/ 17/ 4</v>
      </c>
      <c r="B404" t="str">
        <v>שינוי הוראות חומרי גמר לחזיתות המבנים ביעוד למגורים.</v>
      </c>
      <c r="C404" t="str">
        <v>מקומית</v>
      </c>
      <c r="D404" t="str">
        <v>רמלה</v>
      </c>
      <c r="E404" t="str">
        <v>בבדיקת תנאי סף</v>
      </c>
      <c r="F404" t="str">
        <v>לא</v>
      </c>
      <c r="G404" t="str">
        <v>לא</v>
      </c>
      <c r="H404" t="str">
        <v>לא</v>
      </c>
      <c r="I404">
        <f>=HYPERLINK("https://mavat.iplan.gov.il/SV4/1/4096800/310")</f>
      </c>
    </row>
    <row r="405">
      <c r="A405" t="str">
        <v>רח/ מק/ 450/ 8/ 3/ א</v>
      </c>
      <c r="B405" t="str">
        <v>ניוד שטחי בניה, שינוי מרווחי בניה, תוספת קומות.</v>
      </c>
      <c r="C405" t="str">
        <v>מקומית</v>
      </c>
      <c r="D405" t="str">
        <v>רחובות</v>
      </c>
      <c r="E405" t="str">
        <v>בבדיקת תנאי סף</v>
      </c>
      <c r="F405" t="str">
        <v>לא</v>
      </c>
      <c r="G405" t="str">
        <v>לא</v>
      </c>
      <c r="H405" t="str">
        <v>לא</v>
      </c>
      <c r="I405">
        <f>=HYPERLINK("https://mavat.iplan.gov.il/SV4/1/4096698/310")</f>
      </c>
    </row>
    <row r="406">
      <c r="A406" t="str">
        <v>7/ מק/ 2086</v>
      </c>
      <c r="B406" t="str">
        <v>משק מס' 66- מושב תקומה</v>
      </c>
      <c r="C406" t="str">
        <v>מקומית</v>
      </c>
      <c r="D406" t="str">
        <v>נגב מערבי,שדות נגב,תקומה</v>
      </c>
      <c r="E406" t="str">
        <v>בבדיקת תנאי סף</v>
      </c>
      <c r="F406" t="str">
        <v>לא</v>
      </c>
      <c r="G406" t="str">
        <v>כן</v>
      </c>
      <c r="H406" t="str">
        <v>לא</v>
      </c>
      <c r="I406">
        <f>=HYPERLINK("https://mavat.iplan.gov.il/SV4/1/6051834/310")</f>
      </c>
    </row>
    <row r="407">
      <c r="A407" t="str">
        <v>19/ מק/ 2017</v>
      </c>
      <c r="B407" t="str">
        <v>יצירת מס' 9 לאספלט דרום, שינוי בתוואי דרך מאושרת מס' 3 ואזור תעשיה רמת חובב</v>
      </c>
      <c r="C407" t="str">
        <v>מקומית</v>
      </c>
      <c r="D407" t="str">
        <v>תמר</v>
      </c>
      <c r="E407" t="str">
        <v>בבדיקת תנאי סף</v>
      </c>
      <c r="F407" t="str">
        <v>לא</v>
      </c>
      <c r="G407" t="str">
        <v>לא</v>
      </c>
      <c r="H407" t="str">
        <v>לא</v>
      </c>
      <c r="I407">
        <f>=HYPERLINK("https://mavat.iplan.gov.il/SV4/1/6070123/310")</f>
      </c>
    </row>
    <row r="408">
      <c r="A408" t="str">
        <v>19/ מק/ 2015</v>
      </c>
      <c r="B408" t="str">
        <v>קופולק דרום בע''מ</v>
      </c>
      <c r="C408" t="str">
        <v>מקומית</v>
      </c>
      <c r="D408" t="str">
        <v>נאות חובב,תמר</v>
      </c>
      <c r="E408" t="str">
        <v>בבדיקת תנאי סף</v>
      </c>
      <c r="F408" t="str">
        <v>לא</v>
      </c>
      <c r="G408" t="str">
        <v>כן</v>
      </c>
      <c r="H408" t="str">
        <v>לא</v>
      </c>
      <c r="I408">
        <f>=HYPERLINK("https://mavat.iplan.gov.il/SV4/1/6051816/310")</f>
      </c>
    </row>
    <row r="409">
      <c r="A409" t="str">
        <v>7/ מק/ 2017</v>
      </c>
      <c r="B409" t="str">
        <v>קיבוץ בארי</v>
      </c>
      <c r="C409" t="str">
        <v>מקומית</v>
      </c>
      <c r="D409" t="str">
        <v>אשכול,בארי,נגב מערבי</v>
      </c>
      <c r="E409" t="str">
        <v>בבדיקת תנאי סף</v>
      </c>
      <c r="F409" t="str">
        <v>לא</v>
      </c>
      <c r="G409" t="str">
        <v>לא</v>
      </c>
      <c r="H409" t="str">
        <v>לא</v>
      </c>
      <c r="I409">
        <f>=HYPERLINK("https://mavat.iplan.gov.il/SV4/1/6070098/310")</f>
      </c>
    </row>
    <row r="410">
      <c r="A410" t="str">
        <v>7/ מק/ 2097</v>
      </c>
      <c r="B410" t="str">
        <v>קיבוץ ניר עם</v>
      </c>
      <c r="C410" t="str">
        <v>מקומית</v>
      </c>
      <c r="D410" t="str">
        <v>נגב מערבי,ניר עם,שער הנגב</v>
      </c>
      <c r="E410" t="str">
        <v>בבדיקת תנאי סף</v>
      </c>
      <c r="F410" t="str">
        <v>לא</v>
      </c>
      <c r="G410" t="str">
        <v>לא</v>
      </c>
      <c r="H410" t="str">
        <v>לא</v>
      </c>
      <c r="I410">
        <f>=HYPERLINK("https://mavat.iplan.gov.il/SV4/1/6070101/310")</f>
      </c>
    </row>
    <row r="411">
      <c r="A411" t="str">
        <v>עפ/ מק/ 12008/ 2</v>
      </c>
      <c r="B411" t="str">
        <v>הרחבת מבנה ציבור , עפולה</v>
      </c>
      <c r="C411" t="str">
        <v>מקומית</v>
      </c>
      <c r="D411" t="str">
        <v>עפולה</v>
      </c>
      <c r="E411" t="str">
        <v>בבדיקת תנאי סף</v>
      </c>
      <c r="F411" t="str">
        <v>לא</v>
      </c>
      <c r="G411" t="str">
        <v>לא</v>
      </c>
      <c r="H411" t="str">
        <v>לא</v>
      </c>
      <c r="I411">
        <f>=HYPERLINK("https://mavat.iplan.gov.il/SV4/1/2121532/310")</f>
      </c>
    </row>
    <row r="412">
      <c r="A412" t="str">
        <v>8/ מק/ 2095</v>
      </c>
      <c r="B412" t="str">
        <v>אזור תעשיה באר טוביה</v>
      </c>
      <c r="C412" t="str">
        <v>מקומית</v>
      </c>
      <c r="D412" t="str">
        <v>באר טוביה</v>
      </c>
      <c r="E412" t="str">
        <v>בבדיקת תנאי סף</v>
      </c>
      <c r="F412" t="str">
        <v>כן</v>
      </c>
      <c r="G412" t="str">
        <v>כן</v>
      </c>
      <c r="H412" t="str">
        <v>לא</v>
      </c>
      <c r="I412">
        <f>=HYPERLINK("https://mavat.iplan.gov.il/SV4/1/6052024/310")</f>
      </c>
    </row>
    <row r="413">
      <c r="A413" t="str">
        <v>מש/ מק/ 3304/ 2</v>
      </c>
      <c r="B413" t="str">
        <v>איחוד וחלוקה , כישור</v>
      </c>
      <c r="C413" t="str">
        <v>מקומית</v>
      </c>
      <c r="D413" t="str">
        <v>כישור,משגב</v>
      </c>
      <c r="E413" t="str">
        <v>בבדיקת תנאי סף</v>
      </c>
      <c r="F413" t="str">
        <v>לא</v>
      </c>
      <c r="G413" t="str">
        <v>לא</v>
      </c>
      <c r="H413" t="str">
        <v>לא</v>
      </c>
      <c r="I413">
        <f>=HYPERLINK("https://mavat.iplan.gov.il/SV4/1/2121464/310")</f>
      </c>
    </row>
    <row r="414">
      <c r="A414" t="str">
        <v>רצ/ מק/ 1/ 67/ 7</v>
      </c>
      <c r="B414" t="str">
        <v>מעויין שורק,שינוי הוראות בינוי ותכסית קרקע באזור תעשיה.</v>
      </c>
      <c r="C414" t="str">
        <v>מקומית</v>
      </c>
      <c r="D414" t="str">
        <v>ראשון לציון</v>
      </c>
      <c r="E414" t="str">
        <v>בבדיקת תנאי סף</v>
      </c>
      <c r="F414" t="str">
        <v>לא</v>
      </c>
      <c r="G414" t="str">
        <v>לא</v>
      </c>
      <c r="H414" t="str">
        <v>לא</v>
      </c>
      <c r="I414">
        <f>=HYPERLINK("https://mavat.iplan.gov.il/SV4/1/4074308/310")</f>
      </c>
    </row>
    <row r="415">
      <c r="A415" t="str">
        <v>גמ/ מק/ 7/ 10896/ 325</v>
      </c>
      <c r="B415" t="str">
        <v>תכנית איחוד וחלוקה חדשה לתחום תכנית ג/ 10896 ו- ג/ 10897 , כפר תבור</v>
      </c>
      <c r="C415" t="str">
        <v>מקומית</v>
      </c>
      <c r="D415" t="str">
        <v>הגליל המזרחי,כפר תבור</v>
      </c>
      <c r="E415" t="str">
        <v>בבדיקת תנאי סף</v>
      </c>
      <c r="F415" t="str">
        <v>לא</v>
      </c>
      <c r="G415" t="str">
        <v>לא</v>
      </c>
      <c r="H415" t="str">
        <v>לא</v>
      </c>
      <c r="I415">
        <f>=HYPERLINK("https://mavat.iplan.gov.il/SV4/1/2121342/310")</f>
      </c>
    </row>
    <row r="416">
      <c r="A416" t="str">
        <v>חא/ מק/ 2005/ 7</v>
      </c>
      <c r="B416" t="str">
        <v>אחוד וחלוקה בהסכמה, קבוץ לוחמי הגטאות</v>
      </c>
      <c r="C416" t="str">
        <v>מקומית</v>
      </c>
      <c r="D416" t="str">
        <v>חבל אשר,לוחמי הגיטאות,מטה אשר</v>
      </c>
      <c r="E416" t="str">
        <v>בבדיקת תנאי סף</v>
      </c>
      <c r="F416" t="str">
        <v>לא</v>
      </c>
      <c r="G416" t="str">
        <v>לא</v>
      </c>
      <c r="H416" t="str">
        <v>לא</v>
      </c>
      <c r="I416">
        <f>=HYPERLINK("https://mavat.iplan.gov.il/SV4/1/2121345/310")</f>
      </c>
    </row>
    <row r="417">
      <c r="A417" t="str">
        <v>מש/ מק/ 6931/ 6</v>
      </c>
      <c r="B417" t="str">
        <v>הסדרת תוואי לקטע דרך 23,  סלאמה</v>
      </c>
      <c r="C417" t="str">
        <v>מקומית</v>
      </c>
      <c r="D417" t="str">
        <v>משגב,סואעד(כמאנה)</v>
      </c>
      <c r="E417" t="str">
        <v>בבדיקת תנאי סף</v>
      </c>
      <c r="F417" t="str">
        <v>כן</v>
      </c>
      <c r="G417" t="str">
        <v>כן</v>
      </c>
      <c r="H417" t="str">
        <v>לא</v>
      </c>
      <c r="I417">
        <f>=HYPERLINK("https://mavat.iplan.gov.il/SV4/1/2104718/310")</f>
      </c>
    </row>
    <row r="418">
      <c r="A418" t="str">
        <v>עפ/ מק/ גבת90/ 2</v>
      </c>
      <c r="B418" t="str">
        <v>איחוד וחלוקה, קהילת ציון, עפולה</v>
      </c>
      <c r="C418" t="str">
        <v>מקומית</v>
      </c>
      <c r="D418" t="str">
        <v>עפולה</v>
      </c>
      <c r="E418" t="str">
        <v>בבדיקת תנאי סף</v>
      </c>
      <c r="F418" t="str">
        <v>לא</v>
      </c>
      <c r="G418" t="str">
        <v>לא</v>
      </c>
      <c r="H418" t="str">
        <v>לא</v>
      </c>
      <c r="I418">
        <f>=HYPERLINK("https://mavat.iplan.gov.il/SV4/1/2121422/310")</f>
      </c>
    </row>
    <row r="419">
      <c r="A419" t="str">
        <v>לה/ מק/ 1000/ 15/ 4</v>
      </c>
      <c r="B419" t="str">
        <v>בית ספר אלאמל-מתחם מעפילים/חניתה</v>
      </c>
      <c r="C419" t="str">
        <v>מקומית</v>
      </c>
      <c r="D419" t="str">
        <v>רמלה</v>
      </c>
      <c r="E419" t="str">
        <v>בבדיקת תנאי סף</v>
      </c>
      <c r="F419" t="str">
        <v>לא</v>
      </c>
      <c r="G419" t="str">
        <v>לא</v>
      </c>
      <c r="H419" t="str">
        <v>לא</v>
      </c>
      <c r="I419">
        <f>=HYPERLINK("https://mavat.iplan.gov.il/SV4/1/4096141/310")</f>
      </c>
    </row>
    <row r="420">
      <c r="A420" t="str">
        <v>23/ מק/ 2047</v>
      </c>
      <c r="B420" t="str">
        <v>כביש חיבור אופקים - שדה תימן - קטע עירוני</v>
      </c>
      <c r="C420" t="str">
        <v>מקומית</v>
      </c>
      <c r="D420" t="str">
        <v>אופקים</v>
      </c>
      <c r="E420" t="str">
        <v>בבדיקת תנאי סף</v>
      </c>
      <c r="F420" t="str">
        <v>לא</v>
      </c>
      <c r="G420" t="str">
        <v>לא</v>
      </c>
      <c r="H420" t="str">
        <v>לא</v>
      </c>
      <c r="I420">
        <f>=HYPERLINK("https://mavat.iplan.gov.il/SV4/1/6050389/310")</f>
      </c>
    </row>
    <row r="421">
      <c r="A421" t="str">
        <v>2/ מח/ מק/ 2006/ 3</v>
      </c>
      <c r="B421" t="str">
        <v>שינוי בקווי בניין - בית ספר תיכון , כפר מסעדה</v>
      </c>
      <c r="C421" t="str">
        <v>מקומית</v>
      </c>
      <c r="D421" t="str">
        <v>מסעדה,מעלה חרמון</v>
      </c>
      <c r="E421" t="str">
        <v>בבדיקת תנאי סף</v>
      </c>
      <c r="F421" t="str">
        <v>לא</v>
      </c>
      <c r="G421" t="str">
        <v>לא</v>
      </c>
      <c r="H421" t="str">
        <v>לא</v>
      </c>
      <c r="I421">
        <f>=HYPERLINK("https://mavat.iplan.gov.il/SV4/1/2120898/310")</f>
      </c>
    </row>
    <row r="422">
      <c r="A422" t="str">
        <v>גא/ מק/ 05/ 52</v>
      </c>
      <c r="B422" t="str">
        <v>איחוד וחלוקה ללא הסכמה , הרחבת דרך והקטנת גודל מגרש מינימלי - שפרעם</v>
      </c>
      <c r="C422" t="str">
        <v>מקומית</v>
      </c>
      <c r="D422" t="str">
        <v>גבעות אלונים,שפרעם</v>
      </c>
      <c r="E422" t="str">
        <v>בבדיקת תנאי סף</v>
      </c>
      <c r="F422" t="str">
        <v>לא</v>
      </c>
      <c r="G422" t="str">
        <v>לא</v>
      </c>
      <c r="H422" t="str">
        <v>לא</v>
      </c>
      <c r="I422">
        <f>=HYPERLINK("https://mavat.iplan.gov.il/SV4/1/2120990/310")</f>
      </c>
    </row>
    <row r="423">
      <c r="A423" t="str">
        <v>חא/ מק/ 2006/ 1</v>
      </c>
      <c r="B423" t="str">
        <v>הגדלת מס' יח"ד באזור מגורים א', לוחמי הגטאות</v>
      </c>
      <c r="C423" t="str">
        <v>מקומית</v>
      </c>
      <c r="D423" t="str">
        <v>חבל אשר,לוחמי הגיטאות,מטה אשר</v>
      </c>
      <c r="E423" t="str">
        <v>בבדיקת תנאי סף</v>
      </c>
      <c r="F423" t="str">
        <v>לא</v>
      </c>
      <c r="G423" t="str">
        <v>לא</v>
      </c>
      <c r="H423" t="str">
        <v>לא</v>
      </c>
      <c r="I423">
        <f>=HYPERLINK("https://mavat.iplan.gov.il/SV4/1/2121090/310")</f>
      </c>
    </row>
    <row r="424">
      <c r="A424" t="str">
        <v>נצ/ מק/ 1036</v>
      </c>
      <c r="B424" t="str">
        <v>הרחבת שטח בית קברות , נצרת</v>
      </c>
      <c r="C424" t="str">
        <v>מקומית</v>
      </c>
      <c r="D424" t="str">
        <v>נצרת</v>
      </c>
      <c r="E424" t="str">
        <v>בבדיקת תנאי סף</v>
      </c>
      <c r="F424" t="str">
        <v>לא</v>
      </c>
      <c r="G424" t="str">
        <v>לא</v>
      </c>
      <c r="H424" t="str">
        <v>לא</v>
      </c>
      <c r="I424">
        <f>=HYPERLINK("https://mavat.iplan.gov.il/SV4/1/2120853/310")</f>
      </c>
    </row>
    <row r="425">
      <c r="A425" t="str">
        <v>6/ מק/ 2079</v>
      </c>
      <c r="B425" t="str">
        <v>מרכז יואב - צומת מסמיה</v>
      </c>
      <c r="C425" t="str">
        <v>מקומית</v>
      </c>
      <c r="D425" t="str">
        <v>יואב</v>
      </c>
      <c r="E425" t="str">
        <v>בבדיקת תנאי סף</v>
      </c>
      <c r="F425" t="str">
        <v>לא</v>
      </c>
      <c r="G425" t="str">
        <v>לא</v>
      </c>
      <c r="H425" t="str">
        <v>לא</v>
      </c>
      <c r="I425">
        <f>=HYPERLINK("https://mavat.iplan.gov.il/SV4/1/6050348/310")</f>
      </c>
    </row>
    <row r="426">
      <c r="A426" t="str">
        <v>בר/ מק/ 13/ 22</v>
      </c>
      <c r="B426" t="str">
        <v>איחוד וחלוקה של מגרשים בהסכמת הבעלים,הסדרת טעויות תכנון בתכנית בר/ 13/ 2.</v>
      </c>
      <c r="C426" t="str">
        <v>מקומית</v>
      </c>
      <c r="D426" t="str">
        <v>בית אלעזרי,ברנר,שורקות</v>
      </c>
      <c r="E426" t="str">
        <v>בבדיקת תנאי סף</v>
      </c>
      <c r="F426" t="str">
        <v>לא</v>
      </c>
      <c r="G426" t="str">
        <v>לא</v>
      </c>
      <c r="H426" t="str">
        <v>לא</v>
      </c>
      <c r="I426">
        <f>=HYPERLINK("https://mavat.iplan.gov.il/SV4/1/4074053/310")</f>
      </c>
    </row>
    <row r="427">
      <c r="A427" t="str">
        <v>שג/ מק/ 03/ 10</v>
      </c>
      <c r="B427" t="str">
        <v>הרחבת שטח למבני ציבור, תמרה</v>
      </c>
      <c r="C427" t="str">
        <v>מקומית</v>
      </c>
      <c r="D427" t="str">
        <v>טמרה,שפלת הגליל,תמרה</v>
      </c>
      <c r="E427" t="str">
        <v>בבדיקת תנאי סף</v>
      </c>
      <c r="F427" t="str">
        <v>לא</v>
      </c>
      <c r="G427" t="str">
        <v>לא</v>
      </c>
      <c r="H427" t="str">
        <v>לא</v>
      </c>
      <c r="I427">
        <f>=HYPERLINK("https://mavat.iplan.gov.il/SV4/1/2120762/310")</f>
      </c>
    </row>
    <row r="428">
      <c r="A428" t="str">
        <v>7/ מק/ 2521</v>
      </c>
      <c r="B428" t="str">
        <v>שכונה 30 מגרש 137 כסיפה</v>
      </c>
      <c r="C428" t="str">
        <v>מקומית</v>
      </c>
      <c r="D428" t="str">
        <v>כסייפה,נגב מזרחי</v>
      </c>
      <c r="E428" t="str">
        <v>בבדיקת תנאי סף</v>
      </c>
      <c r="F428" t="str">
        <v>לא</v>
      </c>
      <c r="G428" t="str">
        <v>לא</v>
      </c>
      <c r="H428" t="str">
        <v>לא</v>
      </c>
      <c r="I428">
        <f>=HYPERLINK("https://mavat.iplan.gov.il/SV4/1/6051960/310")</f>
      </c>
    </row>
    <row r="429">
      <c r="A429" t="str">
        <v>6/ מק/ 2090</v>
      </c>
      <c r="B429" t="str">
        <v>קיבוץ גת - איחוד וחלוקת מגרשים</v>
      </c>
      <c r="C429" t="str">
        <v>מקומית</v>
      </c>
      <c r="D429" t="str">
        <v>גת (קבוץ),יואב</v>
      </c>
      <c r="E429" t="str">
        <v>בבדיקת תנאי סף</v>
      </c>
      <c r="F429" t="str">
        <v>לא</v>
      </c>
      <c r="G429" t="str">
        <v>לא</v>
      </c>
      <c r="H429" t="str">
        <v>לא</v>
      </c>
      <c r="I429">
        <f>=HYPERLINK("https://mavat.iplan.gov.il/SV4/1/6051904/310")</f>
      </c>
    </row>
    <row r="430">
      <c r="A430" t="str">
        <v>אל/ מק/ 195/ 8/ 3</v>
      </c>
      <c r="B430" t="str">
        <v>הגדלת שטחים לצרכי ציבור.</v>
      </c>
      <c r="C430" t="str">
        <v>מקומית</v>
      </c>
      <c r="D430" t="str">
        <v>אלעד</v>
      </c>
      <c r="E430" t="str">
        <v>בבדיקת תנאי סף</v>
      </c>
      <c r="F430" t="str">
        <v>לא</v>
      </c>
      <c r="G430" t="str">
        <v>לא</v>
      </c>
      <c r="H430" t="str">
        <v>לא</v>
      </c>
      <c r="I430">
        <f>=HYPERLINK("https://mavat.iplan.gov.il/SV4/1/4073816/310")</f>
      </c>
    </row>
    <row r="431">
      <c r="A431" t="str">
        <v>זמ/ מק/ 329/ 6</v>
      </c>
      <c r="B431" t="str">
        <v>קביעת הוראות בדבר הגדלת שטחי הבנייה המותרים למסחר.</v>
      </c>
      <c r="C431" t="str">
        <v>מקומית</v>
      </c>
      <c r="D431" t="str">
        <v>זמורה,קרית עקרון</v>
      </c>
      <c r="E431" t="str">
        <v>בבדיקת תנאי סף</v>
      </c>
      <c r="F431" t="str">
        <v>לא</v>
      </c>
      <c r="G431" t="str">
        <v>לא</v>
      </c>
      <c r="H431" t="str">
        <v>לא</v>
      </c>
      <c r="I431">
        <f>=HYPERLINK("https://mavat.iplan.gov.il/SV4/1/4073870/310")</f>
      </c>
    </row>
    <row r="432">
      <c r="A432" t="str">
        <v>חש/ מק/ 45/ 2/ 1</v>
      </c>
      <c r="B432" t="str">
        <v>שינוי חלוקת השטחים המותרים לבניה בין אזור תעשיה לאזור מבני משק</v>
      </c>
      <c r="C432" t="str">
        <v>מקומית</v>
      </c>
      <c r="D432" t="str">
        <v>חוף השרון,תל יצחק</v>
      </c>
      <c r="E432" t="str">
        <v>בבדיקת תנאי סף</v>
      </c>
      <c r="F432" t="str">
        <v>לא</v>
      </c>
      <c r="G432" t="str">
        <v>לא</v>
      </c>
      <c r="H432" t="str">
        <v>לא</v>
      </c>
      <c r="I432">
        <f>=HYPERLINK("https://mavat.iplan.gov.il/SV4/1/4070894/310")</f>
      </c>
    </row>
    <row r="433">
      <c r="A433" t="str">
        <v>ממ/ מק/ 5136/ 1</v>
      </c>
      <c r="B433" t="str">
        <v>איחוד וחלוקה של מגרשים, העברת יח"ד ממגרש 14 למגרש 13.</v>
      </c>
      <c r="C433" t="str">
        <v>מקומית</v>
      </c>
      <c r="D433" t="str">
        <v>גני תקוה</v>
      </c>
      <c r="E433" t="str">
        <v>בבדיקת תנאי סף</v>
      </c>
      <c r="F433" t="str">
        <v>לא</v>
      </c>
      <c r="G433" t="str">
        <v>לא</v>
      </c>
      <c r="H433" t="str">
        <v>לא</v>
      </c>
      <c r="I433">
        <f>=HYPERLINK("https://mavat.iplan.gov.il/SV4/1/4073638/310")</f>
      </c>
    </row>
    <row r="434">
      <c r="A434" t="str">
        <v>ענ/ מק/ 900</v>
      </c>
      <c r="B434" t="str">
        <v>חלוקה חדשה של השטח ללא הסכמת הבעלים</v>
      </c>
      <c r="C434" t="str">
        <v>מקומית</v>
      </c>
      <c r="D434" t="str">
        <v>באקה אל ג'רביה,באקה אל גרבייה,עירון</v>
      </c>
      <c r="E434" t="str">
        <v>בבדיקת תנאי סף</v>
      </c>
      <c r="F434" t="str">
        <v>לא</v>
      </c>
      <c r="G434" t="str">
        <v>לא</v>
      </c>
      <c r="H434" t="str">
        <v>לא</v>
      </c>
      <c r="I434">
        <f>=HYPERLINK("https://mavat.iplan.gov.il/SV4/1/3072507/310")</f>
      </c>
    </row>
    <row r="435">
      <c r="A435" t="str">
        <v>4/ מק/ 2158</v>
      </c>
      <c r="B435" t="str">
        <v>מתחם רחוב הנחל - מגדל - אשקלון</v>
      </c>
      <c r="C435" t="str">
        <v>מקומית</v>
      </c>
      <c r="D435" t="str">
        <v>אשקלון</v>
      </c>
      <c r="E435" t="str">
        <v>בבדיקת תנאי סף</v>
      </c>
      <c r="F435" t="str">
        <v>לא</v>
      </c>
      <c r="G435" t="str">
        <v>לא</v>
      </c>
      <c r="H435" t="str">
        <v>לא</v>
      </c>
      <c r="I435">
        <f>=HYPERLINK("https://mavat.iplan.gov.il/SV4/1/6051715/310")</f>
      </c>
    </row>
    <row r="436">
      <c r="A436" t="str">
        <v>ענ/ מק/ 957</v>
      </c>
      <c r="B436" t="str">
        <v>חלוקה חדשה בהסכמת הבעלים, באקה אל גרבייה</v>
      </c>
      <c r="C436" t="str">
        <v>מקומית</v>
      </c>
      <c r="D436" t="str">
        <v>באקה אל ג'רביה,באקה אל גרבייה,עירון</v>
      </c>
      <c r="E436" t="str">
        <v>בבדיקת תנאי סף</v>
      </c>
      <c r="F436" t="str">
        <v>לא</v>
      </c>
      <c r="G436" t="str">
        <v>לא</v>
      </c>
      <c r="H436" t="str">
        <v>לא</v>
      </c>
      <c r="I436">
        <f>=HYPERLINK("https://mavat.iplan.gov.il/SV4/1/3072450/310")</f>
      </c>
    </row>
    <row r="437">
      <c r="A437" t="str">
        <v>חד/ מק/ 1290</v>
      </c>
      <c r="B437" t="str">
        <v>שינוי קו בנין לדרך מס' 4</v>
      </c>
      <c r="C437" t="str">
        <v>מקומית</v>
      </c>
      <c r="D437" t="str">
        <v>חדרה</v>
      </c>
      <c r="E437" t="str">
        <v>בבדיקת תנאי סף</v>
      </c>
      <c r="F437" t="str">
        <v>לא</v>
      </c>
      <c r="G437" t="str">
        <v>לא</v>
      </c>
      <c r="H437" t="str">
        <v>לא</v>
      </c>
      <c r="I437">
        <f>=HYPERLINK("https://mavat.iplan.gov.il/SV4/1/3070050/310")</f>
      </c>
    </row>
    <row r="438">
      <c r="A438" t="str">
        <v>רנ/ מק/ 58</v>
      </c>
      <c r="B438" t="str">
        <v>איחוד וחלוקה מחדש בהסכמה של מגרשים ללא שינוי בשטח הכולל</v>
      </c>
      <c r="C438" t="str">
        <v>מקומית</v>
      </c>
      <c r="D438" t="str">
        <v>ראש העין</v>
      </c>
      <c r="E438" t="str">
        <v>בבדיקת תנאי סף</v>
      </c>
      <c r="F438" t="str">
        <v>לא</v>
      </c>
      <c r="G438" t="str">
        <v>לא</v>
      </c>
      <c r="H438" t="str">
        <v>לא</v>
      </c>
      <c r="I438">
        <f>=HYPERLINK("https://mavat.iplan.gov.il/SV4/1/4073353/310")</f>
      </c>
    </row>
    <row r="439">
      <c r="A439" t="str">
        <v>בי/ מק/ 142/ 2/ ב</v>
      </c>
      <c r="B439" t="str">
        <v>מגרש מ2א</v>
      </c>
      <c r="C439" t="str">
        <v>מקומית</v>
      </c>
      <c r="D439" t="str">
        <v>בת ים</v>
      </c>
      <c r="E439" t="str">
        <v>בבדיקת תנאי סף</v>
      </c>
      <c r="F439" t="str">
        <v>לא</v>
      </c>
      <c r="G439" t="str">
        <v>לא</v>
      </c>
      <c r="H439" t="str">
        <v>לא</v>
      </c>
      <c r="I439">
        <f>=HYPERLINK("https://mavat.iplan.gov.il/SV4/1/5055325/310")</f>
      </c>
    </row>
    <row r="440">
      <c r="A440" t="str">
        <v>20/ מק/ 3025</v>
      </c>
      <c r="B440" t="str">
        <v>ישוב קהילתי אשלים</v>
      </c>
      <c r="C440" t="str">
        <v>מקומית</v>
      </c>
      <c r="D440" t="str">
        <v>אשלים,להבים,רמת נגב</v>
      </c>
      <c r="E440" t="str">
        <v>בבדיקת תנאי סף</v>
      </c>
      <c r="F440" t="str">
        <v>כן</v>
      </c>
      <c r="G440" t="str">
        <v>כן</v>
      </c>
      <c r="H440" t="str">
        <v>לא</v>
      </c>
      <c r="I440">
        <f>=HYPERLINK("https://mavat.iplan.gov.il/SV4/1/6050935/310")</f>
      </c>
    </row>
    <row r="441">
      <c r="A441" t="str">
        <v>7/ מק/ 2079</v>
      </c>
      <c r="B441" t="str">
        <v>קיבוץ שומריה</v>
      </c>
      <c r="C441" t="str">
        <v>מקומית</v>
      </c>
      <c r="D441" t="str">
        <v>בני שמעון,שומריה</v>
      </c>
      <c r="E441" t="str">
        <v>בבדיקת תנאי סף</v>
      </c>
      <c r="F441" t="str">
        <v>לא</v>
      </c>
      <c r="G441" t="str">
        <v>לא</v>
      </c>
      <c r="H441" t="str">
        <v>לא</v>
      </c>
      <c r="I441">
        <f>=HYPERLINK("https://mavat.iplan.gov.il/SV4/1/6050689/310")</f>
      </c>
    </row>
    <row r="442">
      <c r="A442" t="str">
        <v>ענ/ מק/ 455</v>
      </c>
      <c r="B442" t="str">
        <v>מגרש ספורט מעלה עירון</v>
      </c>
      <c r="C442" t="str">
        <v>מקומית</v>
      </c>
      <c r="D442" t="str">
        <v>מעלה עירון,עירון</v>
      </c>
      <c r="E442" t="str">
        <v>בבדיקת תנאי סף</v>
      </c>
      <c r="F442" t="str">
        <v>לא</v>
      </c>
      <c r="G442" t="str">
        <v>לא</v>
      </c>
      <c r="H442" t="str">
        <v>לא</v>
      </c>
      <c r="I442">
        <f>=HYPERLINK("https://mavat.iplan.gov.il/SV4/1/3069290/310")</f>
      </c>
    </row>
    <row r="443">
      <c r="A443" t="str">
        <v>27/ מק/ 1015</v>
      </c>
      <c r="B443" t="str">
        <v>בנה ביתך - מצפה רמון</v>
      </c>
      <c r="C443" t="str">
        <v>מקומית</v>
      </c>
      <c r="D443" t="str">
        <v>מצפה רמון</v>
      </c>
      <c r="E443" t="str">
        <v>בבדיקת תנאי סף</v>
      </c>
      <c r="F443" t="str">
        <v>לא</v>
      </c>
      <c r="G443" t="str">
        <v>לא</v>
      </c>
      <c r="H443" t="str">
        <v>לא</v>
      </c>
      <c r="I443">
        <f>=HYPERLINK("https://mavat.iplan.gov.il/SV4/1/6050669/310")</f>
      </c>
    </row>
    <row r="444">
      <c r="A444" t="str">
        <v>7/ מק/ 2076</v>
      </c>
      <c r="B444" t="str">
        <v>משק 58 , 59 מושב שובה</v>
      </c>
      <c r="C444" t="str">
        <v>מקומית</v>
      </c>
      <c r="D444" t="str">
        <v>מרחבים,נגב מערבי</v>
      </c>
      <c r="E444" t="str">
        <v>בבדיקת תנאי סף</v>
      </c>
      <c r="F444" t="str">
        <v>לא</v>
      </c>
      <c r="G444" t="str">
        <v>כן</v>
      </c>
      <c r="H444" t="str">
        <v>לא</v>
      </c>
      <c r="I444">
        <f>=HYPERLINK("https://mavat.iplan.gov.il/SV4/1/6050696/310")</f>
      </c>
    </row>
    <row r="445">
      <c r="A445" t="str">
        <v>7/ מק/ 2078</v>
      </c>
      <c r="B445" t="str">
        <v>קיבוץ  ניר עוז</v>
      </c>
      <c r="C445" t="str">
        <v>מקומית</v>
      </c>
      <c r="D445" t="str">
        <v>אשכול,נגב מערבי,ניר עוז</v>
      </c>
      <c r="E445" t="str">
        <v>בבדיקת תנאי סף</v>
      </c>
      <c r="F445" t="str">
        <v>כן</v>
      </c>
      <c r="G445" t="str">
        <v>לא</v>
      </c>
      <c r="H445" t="str">
        <v>לא</v>
      </c>
      <c r="I445">
        <f>=HYPERLINK("https://mavat.iplan.gov.il/SV4/1/6050715/310")</f>
      </c>
    </row>
    <row r="446">
      <c r="A446" t="str">
        <v>7/ מק/ 2514</v>
      </c>
      <c r="B446" t="str">
        <v>שכונה 12 לקיה</v>
      </c>
      <c r="C446" t="str">
        <v>מקומית</v>
      </c>
      <c r="D446" t="str">
        <v>לקיה,נגב מזרחי</v>
      </c>
      <c r="E446" t="str">
        <v>בבדיקת תנאי סף</v>
      </c>
      <c r="F446" t="str">
        <v>לא</v>
      </c>
      <c r="G446" t="str">
        <v>לא</v>
      </c>
      <c r="H446" t="str">
        <v>לא</v>
      </c>
      <c r="I446">
        <f>=HYPERLINK("https://mavat.iplan.gov.il/SV4/1/6050690/310")</f>
      </c>
    </row>
    <row r="447">
      <c r="A447" t="str">
        <v>ענ/ מק/ 769</v>
      </c>
      <c r="B447" t="str">
        <v>חלוקה חדשה של חלקה 42 בגוש 8765 בבאקה אל גרבייה</v>
      </c>
      <c r="C447" t="str">
        <v>מקומית</v>
      </c>
      <c r="D447" t="str">
        <v>באקה אל ג'רביה,באקה אל גרבייה,עירון</v>
      </c>
      <c r="E447" t="str">
        <v>בבדיקת תנאי סף</v>
      </c>
      <c r="F447" t="str">
        <v>לא</v>
      </c>
      <c r="G447" t="str">
        <v>לא</v>
      </c>
      <c r="H447" t="str">
        <v>לא</v>
      </c>
      <c r="I447">
        <f>=HYPERLINK("https://mavat.iplan.gov.il/SV4/1/3071047/310")</f>
      </c>
    </row>
    <row r="448">
      <c r="A448" t="str">
        <v>שה/ מק/ 69/ 10/ 5604</v>
      </c>
      <c r="B448" t="str">
        <v>שינוי קו בניין קידמי מ-5 מ' ל- 2.5 מ' כמסומן בתשריט</v>
      </c>
      <c r="C448" t="str">
        <v>מקומית</v>
      </c>
      <c r="D448" t="str">
        <v>שהם</v>
      </c>
      <c r="E448" t="str">
        <v>בבדיקת תנאי סף</v>
      </c>
      <c r="F448" t="str">
        <v>לא</v>
      </c>
      <c r="G448" t="str">
        <v>לא</v>
      </c>
      <c r="H448" t="str">
        <v>לא</v>
      </c>
      <c r="I448">
        <f>=HYPERLINK("https://mavat.iplan.gov.il/SV4/1/4071122/310")</f>
      </c>
    </row>
    <row r="449">
      <c r="A449" t="str">
        <v>9/ מק/ 2011</v>
      </c>
      <c r="B449" t="str">
        <v>יצירת מסגרת תכנונית למתן הוראות רישום לשכונת מגורים - קרית גת</v>
      </c>
      <c r="C449" t="str">
        <v>מקומית</v>
      </c>
      <c r="D449" t="str">
        <v>קרית גת</v>
      </c>
      <c r="E449" t="str">
        <v>בבדיקת תנאי סף</v>
      </c>
      <c r="F449" t="str">
        <v>לא</v>
      </c>
      <c r="G449" t="str">
        <v>לא</v>
      </c>
      <c r="H449" t="str">
        <v>לא</v>
      </c>
      <c r="I449">
        <f>=HYPERLINK("https://mavat.iplan.gov.il/SV4/1/6047642/310")</f>
      </c>
    </row>
    <row r="450">
      <c r="A450" t="str">
        <v>18/ מק/ 2036</v>
      </c>
      <c r="B450" t="str">
        <v>פארק תעשיות - קרית מלאכי</v>
      </c>
      <c r="C450" t="str">
        <v>מקומית</v>
      </c>
      <c r="D450" t="str">
        <v>קרית מלאכי</v>
      </c>
      <c r="E450" t="str">
        <v>בבדיקת תנאי סף</v>
      </c>
      <c r="F450" t="str">
        <v>לא</v>
      </c>
      <c r="G450" t="str">
        <v>לא</v>
      </c>
      <c r="H450" t="str">
        <v>לא</v>
      </c>
      <c r="I450">
        <f>=HYPERLINK("https://mavat.iplan.gov.il/SV4/1/6050591/310")</f>
      </c>
    </row>
    <row r="451">
      <c r="A451" t="str">
        <v>ענ/ מק/ 806</v>
      </c>
      <c r="B451" t="str">
        <v>חלוקה חדשה - שכונת אום אלרקאקי</v>
      </c>
      <c r="C451" t="str">
        <v>מקומית</v>
      </c>
      <c r="D451" t="str">
        <v>באקה אל ג'רביה,באקה אל גרבייה,עירון</v>
      </c>
      <c r="E451" t="str">
        <v>בבדיקת תנאי סף</v>
      </c>
      <c r="F451" t="str">
        <v>לא</v>
      </c>
      <c r="G451" t="str">
        <v>לא</v>
      </c>
      <c r="H451" t="str">
        <v>לא</v>
      </c>
      <c r="I451">
        <f>=HYPERLINK("https://mavat.iplan.gov.il/SV4/1/3071882/310")</f>
      </c>
    </row>
    <row r="452">
      <c r="A452" t="str">
        <v>חש/ מק/ 10/ 2/ 3</v>
      </c>
      <c r="B452" t="str">
        <v>שינוי תוואי 561 בין חתכים 70-90 לצורך שיפור גיאומטרי ע"י שינוי יעוד קרקע</v>
      </c>
      <c r="C452" t="str">
        <v>מקומית</v>
      </c>
      <c r="D452" t="str">
        <v>חוף השרון</v>
      </c>
      <c r="E452" t="str">
        <v>בבדיקת תנאי סף</v>
      </c>
      <c r="F452" t="str">
        <v>לא</v>
      </c>
      <c r="G452" t="str">
        <v>לא</v>
      </c>
      <c r="H452" t="str">
        <v>לא</v>
      </c>
      <c r="I452">
        <f>=HYPERLINK("https://mavat.iplan.gov.il/SV4/1/4072395/310")</f>
      </c>
    </row>
    <row r="453">
      <c r="A453" t="str">
        <v>ענ/ מק/ 753</v>
      </c>
      <c r="B453" t="str">
        <v>חלוקה חדשה חל' 7 בגוש 8768, באקה אל גרבייה</v>
      </c>
      <c r="C453" t="str">
        <v>מקומית</v>
      </c>
      <c r="E453" t="str">
        <v>בבדיקת תנאי סף</v>
      </c>
      <c r="F453" t="str">
        <v>לא</v>
      </c>
      <c r="G453" t="str">
        <v>לא</v>
      </c>
      <c r="H453" t="str">
        <v>לא</v>
      </c>
      <c r="I453">
        <f>=HYPERLINK("https://mavat.iplan.gov.il/SV4/1/3070561/310")</f>
      </c>
    </row>
    <row r="454">
      <c r="A454" t="str">
        <v>נת/ מק/ 542/ 7</v>
      </c>
      <c r="B454" t="str">
        <v>קביעת תחנת דלק מסוג א' באזור חקלאי,חלוקת החלקה,קביעת הוראות בינוי</v>
      </c>
      <c r="C454" t="str">
        <v>מקומית</v>
      </c>
      <c r="D454" t="str">
        <v>נתניה</v>
      </c>
      <c r="E454" t="str">
        <v>בבדיקת תנאי סף</v>
      </c>
      <c r="F454" t="str">
        <v>לא</v>
      </c>
      <c r="G454" t="str">
        <v>לא</v>
      </c>
      <c r="H454" t="str">
        <v>לא</v>
      </c>
      <c r="I454">
        <f>=HYPERLINK("https://mavat.iplan.gov.il/SV4/1/4072087/310")</f>
      </c>
    </row>
    <row r="455">
      <c r="A455" t="str">
        <v>20/ מק/ 3018</v>
      </c>
      <c r="B455" t="str">
        <v>כפר עדיאל - כפר סטודנטים באשלים</v>
      </c>
      <c r="C455" t="str">
        <v>מקומית</v>
      </c>
      <c r="D455" t="str">
        <v>להבים,רמת נגב</v>
      </c>
      <c r="E455" t="str">
        <v>בבדיקת תנאי סף</v>
      </c>
      <c r="F455" t="str">
        <v>לא</v>
      </c>
      <c r="G455" t="str">
        <v>לא</v>
      </c>
      <c r="H455" t="str">
        <v>לא</v>
      </c>
      <c r="I455">
        <f>=HYPERLINK("https://mavat.iplan.gov.il/SV4/1/6050417/310")</f>
      </c>
    </row>
    <row r="456">
      <c r="A456" t="str">
        <v>ענ/ מק/ 643</v>
      </c>
      <c r="B456" t="str">
        <v>חלוקה חדשה של חלקות 12, 13, 15, 16, 17 בגוש 8778</v>
      </c>
      <c r="C456" t="str">
        <v>מקומית</v>
      </c>
      <c r="D456" t="str">
        <v>באקה אל ג'רביה,באקה אל גרבייה,עירון</v>
      </c>
      <c r="E456" t="str">
        <v>בבדיקת תנאי סף</v>
      </c>
      <c r="F456" t="str">
        <v>לא</v>
      </c>
      <c r="G456" t="str">
        <v>לא</v>
      </c>
      <c r="H456" t="str">
        <v>לא</v>
      </c>
      <c r="I456">
        <f>=HYPERLINK("https://mavat.iplan.gov.il/SV4/1/3070314/310")</f>
      </c>
    </row>
    <row r="457">
      <c r="A457" t="str">
        <v>רע/ מק/ 1/ 431</v>
      </c>
      <c r="B457" t="str">
        <v>קביעת קווי בניין ותוספת 6% שטח עיקרי</v>
      </c>
      <c r="C457" t="str">
        <v>מקומית</v>
      </c>
      <c r="D457" t="str">
        <v>רעננה</v>
      </c>
      <c r="E457" t="str">
        <v>בבדיקת תנאי סף</v>
      </c>
      <c r="F457" t="str">
        <v>כן</v>
      </c>
      <c r="G457" t="str">
        <v>כן</v>
      </c>
      <c r="H457" t="str">
        <v>לא</v>
      </c>
      <c r="I457">
        <f>=HYPERLINK("https://mavat.iplan.gov.il/SV4/1/4071706/310")</f>
      </c>
    </row>
    <row r="458">
      <c r="A458" t="str">
        <v>6/ מק/ 2089</v>
      </c>
      <c r="B458" t="str">
        <v>מושב אמציה</v>
      </c>
      <c r="C458" t="str">
        <v>מקומית</v>
      </c>
      <c r="D458" t="str">
        <v>אמציה,לכיש</v>
      </c>
      <c r="E458" t="str">
        <v>בבדיקת תנאי סף</v>
      </c>
      <c r="F458" t="str">
        <v>לא</v>
      </c>
      <c r="G458" t="str">
        <v>לא</v>
      </c>
      <c r="H458" t="str">
        <v>לא</v>
      </c>
      <c r="I458">
        <f>=HYPERLINK("https://mavat.iplan.gov.il/SV4/1/6050386/310")</f>
      </c>
    </row>
    <row r="459">
      <c r="A459" t="str">
        <v>9/ מק/ 2009</v>
      </c>
      <c r="B459" t="str">
        <v>רימוני גת - קרית גת</v>
      </c>
      <c r="C459" t="str">
        <v>מקומית</v>
      </c>
      <c r="D459" t="str">
        <v>קרית גת</v>
      </c>
      <c r="E459" t="str">
        <v>בבדיקת תנאי סף</v>
      </c>
      <c r="F459" t="str">
        <v>לא</v>
      </c>
      <c r="G459" t="str">
        <v>לא</v>
      </c>
      <c r="H459" t="str">
        <v>לא</v>
      </c>
      <c r="I459">
        <f>=HYPERLINK("https://mavat.iplan.gov.il/SV4/1/6046996/310")</f>
      </c>
    </row>
    <row r="460">
      <c r="A460" t="str">
        <v>גז/ מק/ 487/ 18</v>
      </c>
      <c r="B460" t="str">
        <v>איחוד וחלוקה של המגרשים, שינוי בקו בניין הקבוע בתכנית</v>
      </c>
      <c r="C460" t="str">
        <v>מקומית</v>
      </c>
      <c r="D460" t="str">
        <v>צפריה,שדות דן</v>
      </c>
      <c r="E460" t="str">
        <v>בבדיקת תנאי סף</v>
      </c>
      <c r="F460" t="str">
        <v>לא</v>
      </c>
      <c r="G460" t="str">
        <v>לא</v>
      </c>
      <c r="H460" t="str">
        <v>לא</v>
      </c>
      <c r="I460">
        <f>=HYPERLINK("https://mavat.iplan.gov.il/SV4/1/4071742/310")</f>
      </c>
    </row>
    <row r="461">
      <c r="A461" t="str">
        <v>רח/ מק/ 2011/ ב</v>
      </c>
      <c r="B461" t="str">
        <v>הקמת תחנת תדלוק מדרגה ב באזור חקלאי</v>
      </c>
      <c r="C461" t="str">
        <v>מקומית</v>
      </c>
      <c r="D461" t="str">
        <v>רחובות</v>
      </c>
      <c r="E461" t="str">
        <v>בבדיקת תנאי סף</v>
      </c>
      <c r="F461" t="str">
        <v>לא</v>
      </c>
      <c r="G461" t="str">
        <v>לא</v>
      </c>
      <c r="H461" t="str">
        <v>לא</v>
      </c>
      <c r="I461">
        <f>=HYPERLINK("https://mavat.iplan.gov.il/SV4/1/4069812/310")</f>
      </c>
    </row>
    <row r="462">
      <c r="A462" t="str">
        <v>נת/ מק/ 537/ 14/ א/ 1</v>
      </c>
      <c r="B462" t="str">
        <v>שינוי הוראות הבינוי, הגדלת תכסית ושינוי קווי בניין</v>
      </c>
      <c r="C462" t="str">
        <v>מקומית</v>
      </c>
      <c r="D462" t="str">
        <v>נתניה</v>
      </c>
      <c r="E462" t="str">
        <v>בבדיקת תנאי סף</v>
      </c>
      <c r="F462" t="str">
        <v>לא</v>
      </c>
      <c r="G462" t="str">
        <v>לא</v>
      </c>
      <c r="H462" t="str">
        <v>לא</v>
      </c>
      <c r="I462">
        <f>=HYPERLINK("https://mavat.iplan.gov.il/SV4/1/4071498/310")</f>
      </c>
    </row>
    <row r="463">
      <c r="A463" t="str">
        <v>עד/ מק/ 288/ א</v>
      </c>
      <c r="B463" t="str">
        <v>שינוי יעוד ממבני ציבור למגורים ושצ"פ</v>
      </c>
      <c r="C463" t="str">
        <v>מקומית</v>
      </c>
      <c r="D463" t="str">
        <v>דאלית אל-כרמל,רכס הכרמל</v>
      </c>
      <c r="E463" t="str">
        <v>בבדיקת תנאי סף</v>
      </c>
      <c r="F463" t="str">
        <v>לא</v>
      </c>
      <c r="G463" t="str">
        <v>לא</v>
      </c>
      <c r="H463" t="str">
        <v>לא</v>
      </c>
      <c r="I463">
        <f>=HYPERLINK("https://mavat.iplan.gov.il/SV4/1/3071335/310")</f>
      </c>
    </row>
    <row r="464">
      <c r="A464" t="str">
        <v>6/ מק/ 2078</v>
      </c>
      <c r="B464" t="str">
        <v>קיבוץ נגבה</v>
      </c>
      <c r="C464" t="str">
        <v>מקומית</v>
      </c>
      <c r="D464" t="str">
        <v>יואב,נגבה</v>
      </c>
      <c r="E464" t="str">
        <v>בבדיקת תנאי סף</v>
      </c>
      <c r="F464" t="str">
        <v>לא</v>
      </c>
      <c r="G464" t="str">
        <v>לא</v>
      </c>
      <c r="H464" t="str">
        <v>לא</v>
      </c>
      <c r="I464">
        <f>=HYPERLINK("https://mavat.iplan.gov.il/SV4/1/6050056/310")</f>
      </c>
    </row>
    <row r="465">
      <c r="A465" t="str">
        <v>6/ מק/ 2087</v>
      </c>
      <c r="B465" t="str">
        <v>גבר עם</v>
      </c>
      <c r="C465" t="str">
        <v>מקומית</v>
      </c>
      <c r="D465" t="str">
        <v>גברעם,חוף אשקלון</v>
      </c>
      <c r="E465" t="str">
        <v>בבדיקת תנאי סף</v>
      </c>
      <c r="F465" t="str">
        <v>לא</v>
      </c>
      <c r="G465" t="str">
        <v>לא</v>
      </c>
      <c r="H465" t="str">
        <v>לא</v>
      </c>
      <c r="I465">
        <f>=HYPERLINK("https://mavat.iplan.gov.il/SV4/1/6050130/310")</f>
      </c>
    </row>
    <row r="466">
      <c r="A466" t="str">
        <v>בר/ מק/ 289/ 1</v>
      </c>
      <c r="B466" t="str">
        <v>חלוקה מחדש ללא הסכמת הבעלים, על פי פרק ג', סימן לחוק התכנון והבניה תשכ"ה 1965,</v>
      </c>
      <c r="C466" t="str">
        <v>מקומית</v>
      </c>
      <c r="D466" t="str">
        <v>ברנר,גבעת ברנר,שורקות</v>
      </c>
      <c r="E466" t="str">
        <v>בבדיקת תנאי סף</v>
      </c>
      <c r="F466" t="str">
        <v>לא</v>
      </c>
      <c r="G466" t="str">
        <v>לא</v>
      </c>
      <c r="H466" t="str">
        <v>לא</v>
      </c>
      <c r="I466">
        <f>=HYPERLINK("https://mavat.iplan.gov.il/SV4/1/4071189/310")</f>
      </c>
    </row>
    <row r="467">
      <c r="A467" t="str">
        <v>21/ מק/ 2031</v>
      </c>
      <c r="B467" t="str">
        <v>רחוב המעפילים - שדרות</v>
      </c>
      <c r="C467" t="str">
        <v>מקומית</v>
      </c>
      <c r="D467" t="str">
        <v>שדרות</v>
      </c>
      <c r="E467" t="str">
        <v>בבדיקת תנאי סף</v>
      </c>
      <c r="F467" t="str">
        <v>לא</v>
      </c>
      <c r="G467" t="str">
        <v>לא</v>
      </c>
      <c r="H467" t="str">
        <v>לא</v>
      </c>
      <c r="I467">
        <f>=HYPERLINK("https://mavat.iplan.gov.il/SV4/1/6049917/310")</f>
      </c>
    </row>
    <row r="468">
      <c r="A468" t="str">
        <v>כס/ מק/ 95/ 5/ א</v>
      </c>
      <c r="B468" t="str">
        <v>איחוד וחלוקה, שינוי קווי בנין, שינוי הוראות בינוי, תוספת יח"ד</v>
      </c>
      <c r="C468" t="str">
        <v>מקומית</v>
      </c>
      <c r="E468" t="str">
        <v>בבדיקת תנאי סף</v>
      </c>
      <c r="F468" t="str">
        <v>לא</v>
      </c>
      <c r="G468" t="str">
        <v>לא</v>
      </c>
      <c r="H468" t="str">
        <v>לא</v>
      </c>
      <c r="I468">
        <f>=HYPERLINK("https://mavat.iplan.gov.il/SV4/1/4070974/310")</f>
      </c>
    </row>
    <row r="469">
      <c r="A469" t="str">
        <v>נת/ מק/ 401/ 20/ א/ 6</v>
      </c>
      <c r="B469" t="str">
        <v>שינוי קווי בנין למרתפים בהתאם לסעיף 62 אא4 לחוק.</v>
      </c>
      <c r="C469" t="str">
        <v>מקומית</v>
      </c>
      <c r="D469" t="str">
        <v>נתניה</v>
      </c>
      <c r="E469" t="str">
        <v>בבדיקת תנאי סף</v>
      </c>
      <c r="F469" t="str">
        <v>לא</v>
      </c>
      <c r="G469" t="str">
        <v>לא</v>
      </c>
      <c r="H469" t="str">
        <v>לא</v>
      </c>
      <c r="I469">
        <f>=HYPERLINK("https://mavat.iplan.gov.il/SV4/1/4071017/310")</f>
      </c>
    </row>
    <row r="470">
      <c r="A470" t="str">
        <v>שה/ מק/ 69/ 10/ 40</v>
      </c>
      <c r="B470" t="str">
        <v>שינוי קווי בנין</v>
      </c>
      <c r="C470" t="str">
        <v>מקומית</v>
      </c>
      <c r="D470" t="str">
        <v>שהם</v>
      </c>
      <c r="E470" t="str">
        <v>בבדיקת תנאי סף</v>
      </c>
      <c r="F470" t="str">
        <v>לא</v>
      </c>
      <c r="G470" t="str">
        <v>לא</v>
      </c>
      <c r="H470" t="str">
        <v>לא</v>
      </c>
      <c r="I470">
        <f>=HYPERLINK("https://mavat.iplan.gov.il/SV4/1/4070647/310")</f>
      </c>
    </row>
    <row r="471">
      <c r="A471" t="str">
        <v>7/ מק/ 2049</v>
      </c>
      <c r="B471" t="str">
        <v>גבעות בר - מועצה אזורית בני שמעון</v>
      </c>
      <c r="C471" t="str">
        <v>מקומית</v>
      </c>
      <c r="D471" t="str">
        <v>בני שמעון</v>
      </c>
      <c r="E471" t="str">
        <v>בבדיקת תנאי סף</v>
      </c>
      <c r="F471" t="str">
        <v>לא</v>
      </c>
      <c r="G471" t="str">
        <v>כן</v>
      </c>
      <c r="H471" t="str">
        <v>לא</v>
      </c>
      <c r="I471">
        <f>=HYPERLINK("https://mavat.iplan.gov.il/SV4/1/6048678/310")</f>
      </c>
    </row>
    <row r="472">
      <c r="A472" t="str">
        <v>5/ מק/ 2335</v>
      </c>
      <c r="B472" t="str">
        <v>רחוב מצדה, מרכז הנגב - באר שבע</v>
      </c>
      <c r="C472" t="str">
        <v>מקומית</v>
      </c>
      <c r="D472" t="str">
        <v>באר שבע</v>
      </c>
      <c r="E472" t="str">
        <v>בבדיקת תנאי סף</v>
      </c>
      <c r="F472" t="str">
        <v>לא</v>
      </c>
      <c r="G472" t="str">
        <v>לא</v>
      </c>
      <c r="H472" t="str">
        <v>לא</v>
      </c>
      <c r="I472">
        <f>=HYPERLINK("https://mavat.iplan.gov.il/SV4/1/6049543/310")</f>
      </c>
    </row>
    <row r="473">
      <c r="A473" t="str">
        <v>גז/ מק/ 414/ 23</v>
      </c>
      <c r="B473" t="str">
        <v>הקמת תחנת תדלוק, איחוד וחלוקה, קביעת קוי בנין וקביעת שטח מינימלי למגרש לתחנת ת</v>
      </c>
      <c r="C473" t="str">
        <v>מקומית</v>
      </c>
      <c r="D473" t="str">
        <v>בית נחמיה,חבל מודיעין</v>
      </c>
      <c r="E473" t="str">
        <v>בבדיקת תנאי סף</v>
      </c>
      <c r="F473" t="str">
        <v>לא</v>
      </c>
      <c r="G473" t="str">
        <v>לא</v>
      </c>
      <c r="H473" t="str">
        <v>לא</v>
      </c>
      <c r="I473">
        <f>=HYPERLINK("https://mavat.iplan.gov.il/SV4/1/4069836/310")</f>
      </c>
    </row>
    <row r="474">
      <c r="A474" t="str">
        <v>ש/ מק/ 1192</v>
      </c>
      <c r="B474" t="str">
        <v>חלוקת משנה למגרשים מחדש, במגרשים המיועדים לתעשיה ומלאכה באור עקיבא</v>
      </c>
      <c r="C474" t="str">
        <v>מקומית</v>
      </c>
      <c r="D474" t="str">
        <v>אור עקיבא,יישובי הברון</v>
      </c>
      <c r="E474" t="str">
        <v>בבדיקת תנאי סף</v>
      </c>
      <c r="F474" t="str">
        <v>לא</v>
      </c>
      <c r="G474" t="str">
        <v>לא</v>
      </c>
      <c r="H474" t="str">
        <v>לא</v>
      </c>
      <c r="I474">
        <f>=HYPERLINK("https://mavat.iplan.gov.il/SV4/1/3070490/310")</f>
      </c>
    </row>
    <row r="475">
      <c r="A475" t="str">
        <v>ענ/ מק/ 759</v>
      </c>
      <c r="B475" t="str">
        <v>חלוקה חדשה של חלקות 12, 13 בגוש 12170, ערערה</v>
      </c>
      <c r="C475" t="str">
        <v>מקומית</v>
      </c>
      <c r="D475" t="str">
        <v>עירון,ערערה</v>
      </c>
      <c r="E475" t="str">
        <v>בבדיקת תנאי סף</v>
      </c>
      <c r="F475" t="str">
        <v>לא</v>
      </c>
      <c r="G475" t="str">
        <v>לא</v>
      </c>
      <c r="H475" t="str">
        <v>לא</v>
      </c>
      <c r="I475">
        <f>=HYPERLINK("https://mavat.iplan.gov.il/SV4/1/3070922/310")</f>
      </c>
    </row>
    <row r="476">
      <c r="A476" t="str">
        <v>7/ מק/ 2507</v>
      </c>
      <c r="B476" t="str">
        <v>שכונה ב' - מגרשים מס' 902-904 - שגב שלום</v>
      </c>
      <c r="C476" t="str">
        <v>מקומית</v>
      </c>
      <c r="D476" t="str">
        <v>נגב מזרחי,שגב שלום</v>
      </c>
      <c r="E476" t="str">
        <v>בבדיקת תנאי סף</v>
      </c>
      <c r="F476" t="str">
        <v>לא</v>
      </c>
      <c r="G476" t="str">
        <v>לא</v>
      </c>
      <c r="H476" t="str">
        <v>לא</v>
      </c>
      <c r="I476">
        <f>=HYPERLINK("https://mavat.iplan.gov.il/SV4/1/6049560/310")</f>
      </c>
    </row>
    <row r="477">
      <c r="A477" t="str">
        <v>ממ/ מק/ 3074/ 4</v>
      </c>
      <c r="B477" t="str">
        <v>שינוי מיקום ייעוד השטחים לבניני ציבור</v>
      </c>
      <c r="C477" t="str">
        <v>מקומית</v>
      </c>
      <c r="D477" t="str">
        <v>גבעת שמואל</v>
      </c>
      <c r="E477" t="str">
        <v>בבדיקת תנאי סף</v>
      </c>
      <c r="F477" t="str">
        <v>לא</v>
      </c>
      <c r="G477" t="str">
        <v>לא</v>
      </c>
      <c r="H477" t="str">
        <v>לא</v>
      </c>
      <c r="I477">
        <f>=HYPERLINK("https://mavat.iplan.gov.il/SV4/1/4070643/310")</f>
      </c>
    </row>
    <row r="478">
      <c r="A478" t="str">
        <v>6/ מק/ 2064</v>
      </c>
      <c r="B478" t="str">
        <v>מושב כפר הרי"ף</v>
      </c>
      <c r="C478" t="str">
        <v>מקומית</v>
      </c>
      <c r="D478" t="str">
        <v>יואב,כפר הרי"ף</v>
      </c>
      <c r="E478" t="str">
        <v>בבדיקת תנאי סף</v>
      </c>
      <c r="F478" t="str">
        <v>לא</v>
      </c>
      <c r="G478" t="str">
        <v>לא</v>
      </c>
      <c r="H478" t="str">
        <v>לא</v>
      </c>
      <c r="I478">
        <f>=HYPERLINK("https://mavat.iplan.gov.il/SV4/1/6049106/310")</f>
      </c>
    </row>
    <row r="479">
      <c r="A479" t="str">
        <v>בר/ מק/ 267</v>
      </c>
      <c r="B479" t="str">
        <v>שינוי יעוד קרקע חקלאית לתחנת תדלוק מסוג ב</v>
      </c>
      <c r="C479" t="str">
        <v>מקומית</v>
      </c>
      <c r="D479" t="str">
        <v>בית חלקיה,נחל שורק,שורקות</v>
      </c>
      <c r="E479" t="str">
        <v>בבדיקת תנאי סף</v>
      </c>
      <c r="F479" t="str">
        <v>לא</v>
      </c>
      <c r="G479" t="str">
        <v>לא</v>
      </c>
      <c r="H479" t="str">
        <v>לא</v>
      </c>
      <c r="I479">
        <f>=HYPERLINK("https://mavat.iplan.gov.il/SV4/1/4070476/310")</f>
      </c>
    </row>
    <row r="480">
      <c r="A480" t="str">
        <v>כס/ מק/ 490/ 1</v>
      </c>
      <c r="B480" t="str">
        <v>שינוי יעוד משצ"פ ושב"צ לאזור המיועד לבית קברות</v>
      </c>
      <c r="C480" t="str">
        <v>מקומית</v>
      </c>
      <c r="D480" t="str">
        <v>כפר סבא</v>
      </c>
      <c r="E480" t="str">
        <v>בבדיקת תנאי סף</v>
      </c>
      <c r="F480" t="str">
        <v>לא</v>
      </c>
      <c r="G480" t="str">
        <v>לא</v>
      </c>
      <c r="H480" t="str">
        <v>לא</v>
      </c>
      <c r="I480">
        <f>=HYPERLINK("https://mavat.iplan.gov.il/SV4/1/4070478/310")</f>
      </c>
    </row>
    <row r="481">
      <c r="A481" t="str">
        <v>ממ/ מק/ 3075/ 19</v>
      </c>
      <c r="B481" t="str">
        <v>הגדלת שטח לייעוד בניני ציבור על חשבון דרך שצ"פ ומתקנים הנדסיים</v>
      </c>
      <c r="C481" t="str">
        <v>מקומית</v>
      </c>
      <c r="D481" t="str">
        <v>גבעת שמואל</v>
      </c>
      <c r="E481" t="str">
        <v>בבדיקת תנאי סף</v>
      </c>
      <c r="F481" t="str">
        <v>לא</v>
      </c>
      <c r="G481" t="str">
        <v>כן</v>
      </c>
      <c r="H481" t="str">
        <v>לא</v>
      </c>
      <c r="I481">
        <f>=HYPERLINK("https://mavat.iplan.gov.il/SV4/1/4070477/310")</f>
      </c>
    </row>
    <row r="482">
      <c r="A482" t="str">
        <v>גז/ מק/ 159/ 20</v>
      </c>
      <c r="B482" t="str">
        <v>איחוד וחלוקה מחדש ללא הסכמת הבעלים</v>
      </c>
      <c r="C482" t="str">
        <v>מקומית</v>
      </c>
      <c r="D482" t="str">
        <v>חבל מודיעין,שילת</v>
      </c>
      <c r="E482" t="str">
        <v>בבדיקת תנאי סף</v>
      </c>
      <c r="F482" t="str">
        <v>לא</v>
      </c>
      <c r="G482" t="str">
        <v>לא</v>
      </c>
      <c r="H482" t="str">
        <v>לא</v>
      </c>
      <c r="I482">
        <f>=HYPERLINK("https://mavat.iplan.gov.il/SV4/1/4070250/310")</f>
      </c>
    </row>
    <row r="483">
      <c r="A483" t="str">
        <v>6/ מק/ 2062</v>
      </c>
      <c r="B483" t="str">
        <v>בית הדר</v>
      </c>
      <c r="C483" t="str">
        <v>מקומית</v>
      </c>
      <c r="D483" t="str">
        <v>בת הדר,חוף אשקלון</v>
      </c>
      <c r="E483" t="str">
        <v>בבדיקת תנאי סף</v>
      </c>
      <c r="F483" t="str">
        <v>לא</v>
      </c>
      <c r="G483" t="str">
        <v>לא</v>
      </c>
      <c r="H483" t="str">
        <v>לא</v>
      </c>
      <c r="I483">
        <f>=HYPERLINK("https://mavat.iplan.gov.il/SV4/1/6049377/310")</f>
      </c>
    </row>
    <row r="484">
      <c r="A484" t="str">
        <v>6/ מק/ 2063</v>
      </c>
      <c r="B484" t="str">
        <v>מושב זרחיה</v>
      </c>
      <c r="C484" t="str">
        <v>מקומית</v>
      </c>
      <c r="D484" t="str">
        <v>זרחיה,שפיר</v>
      </c>
      <c r="E484" t="str">
        <v>בבדיקת תנאי סף</v>
      </c>
      <c r="F484" t="str">
        <v>לא</v>
      </c>
      <c r="G484" t="str">
        <v>לא</v>
      </c>
      <c r="H484" t="str">
        <v>לא</v>
      </c>
      <c r="I484">
        <f>=HYPERLINK("https://mavat.iplan.gov.il/SV4/1/6049107/310")</f>
      </c>
    </row>
    <row r="485">
      <c r="A485" t="str">
        <v>7/ מק/ 2056</v>
      </c>
      <c r="B485" t="str">
        <v>מושב פטיש</v>
      </c>
      <c r="C485" t="str">
        <v>מקומית</v>
      </c>
      <c r="D485" t="str">
        <v>מרחבים,נגב מערבי,פטיש</v>
      </c>
      <c r="E485" t="str">
        <v>בבדיקת תנאי סף</v>
      </c>
      <c r="F485" t="str">
        <v>כן</v>
      </c>
      <c r="G485" t="str">
        <v>כן</v>
      </c>
      <c r="H485" t="str">
        <v>לא</v>
      </c>
      <c r="I485">
        <f>=HYPERLINK("https://mavat.iplan.gov.il/SV4/1/6049224/310")</f>
      </c>
    </row>
    <row r="486">
      <c r="A486" t="str">
        <v>8/ מק/ 2082</v>
      </c>
      <c r="B486" t="str">
        <v>מושב אורות</v>
      </c>
      <c r="C486" t="str">
        <v>מקומית</v>
      </c>
      <c r="D486" t="str">
        <v>באר טוביה</v>
      </c>
      <c r="E486" t="str">
        <v>בבדיקת תנאי סף</v>
      </c>
      <c r="F486" t="str">
        <v>לא</v>
      </c>
      <c r="G486" t="str">
        <v>לא</v>
      </c>
      <c r="H486" t="str">
        <v>לא</v>
      </c>
      <c r="I486">
        <f>=HYPERLINK("https://mavat.iplan.gov.il/SV4/1/6049324/310")</f>
      </c>
    </row>
    <row r="487">
      <c r="A487" t="str">
        <v>כס/ מק/ 481</v>
      </c>
      <c r="B487" t="str">
        <v>יצירת מעבר תת קרקעי לרכב</v>
      </c>
      <c r="C487" t="str">
        <v>מקומית</v>
      </c>
      <c r="D487" t="str">
        <v>כפר סבא</v>
      </c>
      <c r="E487" t="str">
        <v>בבדיקת תנאי סף</v>
      </c>
      <c r="F487" t="str">
        <v>לא</v>
      </c>
      <c r="G487" t="str">
        <v>לא</v>
      </c>
      <c r="H487" t="str">
        <v>לא</v>
      </c>
      <c r="I487">
        <f>=HYPERLINK("https://mavat.iplan.gov.il/SV4/1/4070089/310")</f>
      </c>
    </row>
    <row r="488">
      <c r="A488" t="str">
        <v>נס/ מק/ 189</v>
      </c>
      <c r="B488" t="str">
        <v>שינוי קו בנין והתאמתו לבנין הקיים בלבד.</v>
      </c>
      <c r="C488" t="str">
        <v>מקומית</v>
      </c>
      <c r="D488" t="str">
        <v>נס ציונה</v>
      </c>
      <c r="E488" t="str">
        <v>בבדיקת תנאי סף</v>
      </c>
      <c r="F488" t="str">
        <v>לא</v>
      </c>
      <c r="G488" t="str">
        <v>לא</v>
      </c>
      <c r="H488" t="str">
        <v>לא</v>
      </c>
      <c r="I488">
        <f>=HYPERLINK("https://mavat.iplan.gov.il/SV4/1/4070042/310")</f>
      </c>
    </row>
    <row r="489">
      <c r="A489" t="str">
        <v>ענ/ מק/ 712</v>
      </c>
      <c r="B489" t="str">
        <v>חלוקה חדשה בהסכמה, גוש 8765 חל' 15, באקה אל גרבייה</v>
      </c>
      <c r="C489" t="str">
        <v>מקומית</v>
      </c>
      <c r="D489" t="str">
        <v>באקה אל ג'רביה,באקה אל גרבייה,עירון</v>
      </c>
      <c r="E489" t="str">
        <v>בבדיקת תנאי סף</v>
      </c>
      <c r="F489" t="str">
        <v>לא</v>
      </c>
      <c r="G489" t="str">
        <v>לא</v>
      </c>
      <c r="H489" t="str">
        <v>לא</v>
      </c>
      <c r="I489">
        <f>=HYPERLINK("https://mavat.iplan.gov.il/SV4/1/3070682/310")</f>
      </c>
    </row>
    <row r="490">
      <c r="A490" t="str">
        <v>רנ/ מק/ 10/ ד</v>
      </c>
      <c r="B490" t="str">
        <v>איחוד וחלוקה של מגרשים</v>
      </c>
      <c r="C490" t="str">
        <v>מקומית</v>
      </c>
      <c r="D490" t="str">
        <v>ראש העין</v>
      </c>
      <c r="E490" t="str">
        <v>בבדיקת תנאי סף</v>
      </c>
      <c r="F490" t="str">
        <v>לא</v>
      </c>
      <c r="G490" t="str">
        <v>לא</v>
      </c>
      <c r="H490" t="str">
        <v>לא</v>
      </c>
      <c r="I490">
        <f>=HYPERLINK("https://mavat.iplan.gov.il/SV4/1/4069883/310")</f>
      </c>
    </row>
    <row r="491">
      <c r="A491" t="str">
        <v>פת/ מק/ 1241/ 82/ ב</v>
      </c>
      <c r="B491" t="str">
        <v>תוספת קומות</v>
      </c>
      <c r="C491" t="str">
        <v>מקומית</v>
      </c>
      <c r="D491" t="str">
        <v>פתח תקוה</v>
      </c>
      <c r="E491" t="str">
        <v>בבדיקת תנאי סף</v>
      </c>
      <c r="F491" t="str">
        <v>לא</v>
      </c>
      <c r="G491" t="str">
        <v>לא</v>
      </c>
      <c r="H491" t="str">
        <v>לא</v>
      </c>
      <c r="I491">
        <f>=HYPERLINK("https://mavat.iplan.gov.il/SV4/1/4069884/310")</f>
      </c>
    </row>
    <row r="492">
      <c r="A492" t="str">
        <v>חש/ מק/ 4/ 30</v>
      </c>
      <c r="B492" t="str">
        <v>העברת זכויות בניה, שינוי בקווי בנין</v>
      </c>
      <c r="C492" t="str">
        <v>מקומית</v>
      </c>
      <c r="D492" t="str">
        <v>אודים,חוף השרון</v>
      </c>
      <c r="E492" t="str">
        <v>בבדיקת תנאי סף</v>
      </c>
      <c r="F492" t="str">
        <v>לא</v>
      </c>
      <c r="G492" t="str">
        <v>לא</v>
      </c>
      <c r="H492" t="str">
        <v>לא</v>
      </c>
      <c r="I492">
        <f>=HYPERLINK("https://mavat.iplan.gov.il/SV4/1/4069695/310")</f>
      </c>
    </row>
    <row r="493">
      <c r="A493" t="str">
        <v>רח/ מק/ 1250/ 16/ א</v>
      </c>
      <c r="B493" t="str">
        <v>תכנית לאיחוד וחלוקה, תוספת יח"ד, שינוי חלוקת שטחי בנייה, תוספת קומות</v>
      </c>
      <c r="C493" t="str">
        <v>מקומית</v>
      </c>
      <c r="D493" t="str">
        <v>רחובות</v>
      </c>
      <c r="E493" t="str">
        <v>בבדיקת תנאי סף</v>
      </c>
      <c r="F493" t="str">
        <v>לא</v>
      </c>
      <c r="G493" t="str">
        <v>לא</v>
      </c>
      <c r="H493" t="str">
        <v>לא</v>
      </c>
      <c r="I493">
        <f>=HYPERLINK("https://mavat.iplan.gov.il/SV4/1/4067078/310")</f>
      </c>
    </row>
    <row r="494">
      <c r="A494" t="str">
        <v>כ/ מק/ 411/ א</v>
      </c>
      <c r="B494" t="str">
        <v>שינוי בקווי בניין, הגדלת מס' יח"ד ותוספת קומות</v>
      </c>
      <c r="C494" t="str">
        <v>מקומית</v>
      </c>
      <c r="D494" t="str">
        <v>קרית אתא</v>
      </c>
      <c r="E494" t="str">
        <v>בבדיקת תנאי סף</v>
      </c>
      <c r="F494" t="str">
        <v>לא</v>
      </c>
      <c r="G494" t="str">
        <v>לא</v>
      </c>
      <c r="H494" t="str">
        <v>לא</v>
      </c>
      <c r="I494">
        <f>=HYPERLINK("https://mavat.iplan.gov.il/SV4/1/3070406/310")</f>
      </c>
    </row>
    <row r="495">
      <c r="A495" t="str">
        <v>עד/ מק/ 291</v>
      </c>
      <c r="B495" t="str">
        <v>שינוי תוואי שביל, דלית אלכרמל</v>
      </c>
      <c r="C495" t="str">
        <v>מקומית</v>
      </c>
      <c r="D495" t="str">
        <v>דאלית אל-כרמל,רכס הכרמל</v>
      </c>
      <c r="E495" t="str">
        <v>בבדיקת תנאי סף</v>
      </c>
      <c r="F495" t="str">
        <v>לא</v>
      </c>
      <c r="G495" t="str">
        <v>לא</v>
      </c>
      <c r="H495" t="str">
        <v>לא</v>
      </c>
      <c r="I495">
        <f>=HYPERLINK("https://mavat.iplan.gov.il/SV4/1/3070416/310")</f>
      </c>
    </row>
    <row r="496">
      <c r="A496" t="str">
        <v>7/ מק/ 2050</v>
      </c>
      <c r="B496" t="str">
        <v>קיבוץ כפר עזה - שמעונים</v>
      </c>
      <c r="C496" t="str">
        <v>מקומית</v>
      </c>
      <c r="D496" t="str">
        <v>כפר עזה,נגב מערבי,שער הנגב</v>
      </c>
      <c r="E496" t="str">
        <v>בבדיקת תנאי סף</v>
      </c>
      <c r="F496" t="str">
        <v>לא</v>
      </c>
      <c r="G496" t="str">
        <v>לא</v>
      </c>
      <c r="H496" t="str">
        <v>לא</v>
      </c>
      <c r="I496">
        <f>=HYPERLINK("https://mavat.iplan.gov.il/SV4/1/6048719/310")</f>
      </c>
    </row>
    <row r="497">
      <c r="A497" t="str">
        <v>בר/ מק/ 232/ 3/ 1</v>
      </c>
      <c r="B497" t="str">
        <v>הרחבת הדרך המיועדת לצרכי ציבור</v>
      </c>
      <c r="C497" t="str">
        <v>מקומית</v>
      </c>
      <c r="D497" t="str">
        <v>ברנר,גבעת ברנר,שורקות</v>
      </c>
      <c r="E497" t="str">
        <v>בבדיקת תנאי סף</v>
      </c>
      <c r="F497" t="str">
        <v>לא</v>
      </c>
      <c r="G497" t="str">
        <v>לא</v>
      </c>
      <c r="H497" t="str">
        <v>לא</v>
      </c>
      <c r="I497">
        <f>=HYPERLINK("https://mavat.iplan.gov.il/SV4/1/4066929/310")</f>
      </c>
    </row>
    <row r="498">
      <c r="A498" t="str">
        <v>6/ מק/ 2053</v>
      </c>
      <c r="B498" t="str">
        <v>אזור תעשיה - משואות יצחק</v>
      </c>
      <c r="C498" t="str">
        <v>מקומית</v>
      </c>
      <c r="D498" t="str">
        <v>משואות יצחק,שפיר</v>
      </c>
      <c r="E498" t="str">
        <v>בבדיקת תנאי סף</v>
      </c>
      <c r="F498" t="str">
        <v>לא</v>
      </c>
      <c r="G498" t="str">
        <v>לא</v>
      </c>
      <c r="H498" t="str">
        <v>לא</v>
      </c>
      <c r="I498">
        <f>=HYPERLINK("https://mavat.iplan.gov.il/SV4/1/6048547/310")</f>
      </c>
    </row>
    <row r="499">
      <c r="A499" t="str">
        <v>בר/ מק/ 232/ 3</v>
      </c>
      <c r="B499" t="str">
        <v xml:space="preserve"> </v>
      </c>
      <c r="C499" t="str">
        <v>מקומית</v>
      </c>
      <c r="D499" t="str">
        <v>ברנר,גבעת ברנר,שורקות</v>
      </c>
      <c r="E499" t="str">
        <v>בבדיקת תנאי סף</v>
      </c>
      <c r="F499" t="str">
        <v>לא</v>
      </c>
      <c r="G499" t="str">
        <v>לא</v>
      </c>
      <c r="H499" t="str">
        <v>לא</v>
      </c>
      <c r="I499">
        <f>=HYPERLINK("https://mavat.iplan.gov.il/SV4/1/4062487/310")</f>
      </c>
    </row>
    <row r="500">
      <c r="A500" t="str">
        <v>ש/ מק/ 1155</v>
      </c>
      <c r="B500" t="str">
        <v>איחוד וחלוקה וניוד שטחי ציבור בג'יסר אל זרקא</v>
      </c>
      <c r="C500" t="str">
        <v>מקומית</v>
      </c>
      <c r="D500" t="str">
        <v>ג'סר א-זרקא,יישובי הברון</v>
      </c>
      <c r="E500" t="str">
        <v>בבדיקת תנאי סף</v>
      </c>
      <c r="F500" t="str">
        <v>לא</v>
      </c>
      <c r="G500" t="str">
        <v>לא</v>
      </c>
      <c r="H500" t="str">
        <v>לא</v>
      </c>
      <c r="I500">
        <f>=HYPERLINK("https://mavat.iplan.gov.il/SV4/1/3070210/310")</f>
      </c>
    </row>
  </sheetData>
  <ignoredErrors>
    <ignoredError numberStoredAsText="1" sqref="A1:J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